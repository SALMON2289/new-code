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Height="17130" tabRatio="798" activeTab="1"/>
  </bookViews>
  <sheets>
    <sheet name="変更履歴" sheetId="4" r:id="rId1"/>
    <sheet name="テーブル一覧" sheetId="1" r:id="rId2"/>
    <sheet name="テーブル定義_マスタ" sheetId="21" r:id="rId3"/>
    <sheet name="テーブル定義_Q連携" sheetId="16" r:id="rId4"/>
    <sheet name="テーブル定義_申込情報" sheetId="6" r:id="rId5"/>
    <sheet name="テーブル定義_キュー管理" sheetId="27" r:id="rId6"/>
    <sheet name="テーブル定義_IIJ連携" sheetId="28" r:id="rId7"/>
    <sheet name="テーブル定義_実行制御" sheetId="29" r:id="rId8"/>
    <sheet name="設定" sheetId="7" r:id="rId9"/>
    <sheet name="DDL出力" sheetId="23" r:id="rId10"/>
  </sheets>
  <externalReferences>
    <externalReference r:id="rId11"/>
  </externalReferences>
  <definedNames>
    <definedName name="_xlnm._FilterDatabase" localSheetId="1" hidden="1">テーブル一覧!$A$2:$K$2</definedName>
    <definedName name="_xlnm._FilterDatabase" localSheetId="6" hidden="1">テーブル定義_IIJ連携!#REF!</definedName>
    <definedName name="_xlnm._FilterDatabase" localSheetId="5" hidden="1">テーブル定義_キュー管理!$A$6:$S$6</definedName>
    <definedName name="DATA_TYPE">設定!$A$1:$A$24</definedName>
    <definedName name="_xlnm.Print_Area" localSheetId="1">テーブル一覧!$A$1:$K$32</definedName>
    <definedName name="_xlnm.Print_Area" localSheetId="6">テーブル定義_IIJ連携!$A$1:$BB$220</definedName>
    <definedName name="_xlnm.Print_Area" localSheetId="3">テーブル定義_Q連携!$A$1:$M$30</definedName>
    <definedName name="_xlnm.Print_Area" localSheetId="2">テーブル定義_マスタ!$A$1:$M$104</definedName>
    <definedName name="_xlnm.Print_Area" localSheetId="7">テーブル定義_実行制御!$A$1:$M$7</definedName>
    <definedName name="_xlnm.Print_Area" localSheetId="4">テーブル定義_申込情報!$A$1:$M$279</definedName>
    <definedName name="_xlnm.Print_Titles" localSheetId="6">テーブル定義_IIJ連携!$1:$3</definedName>
    <definedName name="_xlnm.Print_Titles" localSheetId="3">テーブル定義_Q連携!$1:$3</definedName>
    <definedName name="_xlnm.Print_Titles" localSheetId="5">テーブル定義_キュー管理!$1:$3</definedName>
    <definedName name="_xlnm.Print_Titles" localSheetId="2">テーブル定義_マスタ!$1:$3</definedName>
    <definedName name="_xlnm.Print_Titles" localSheetId="7">テーブル定義_実行制御!$1:$3</definedName>
    <definedName name="_xlnm.Print_Titles" localSheetId="4">テーブル定義_申込情報!$1:$3</definedName>
    <definedName name="_xlnm.Print_Titles" localSheetId="0">変更履歴!$1:$1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sumie</author>
  </authors>
  <commentList>
    <comment ref="E108" authorId="0">
      <text>
        <r>
          <rPr>
            <b/>
            <sz val="9"/>
            <rFont val="MS PGothic"/>
            <charset val="134"/>
          </rPr>
          <t>jsonイメージ：</t>
        </r>
        <r>
          <rPr>
            <sz val="9"/>
            <rFont val="MS PGothic"/>
            <charset val="134"/>
          </rPr>
          <t xml:space="preserve">
[
  {
    "OptionName": "AnswerPhone",
    "Request": 1
  },
  {
    "OptionName": "CallWaiting",
    "Request": 0
  },
  {
    "OptionName": "CallFlatRate",
    "Request": 1,
    "Type": 5
  }
]
</t>
        </r>
      </text>
    </comment>
    <comment ref="W108" authorId="0">
      <text>
        <r>
          <rPr>
            <b/>
            <sz val="9"/>
            <rFont val="MS PGothic"/>
            <charset val="134"/>
          </rPr>
          <t>json image：</t>
        </r>
        <r>
          <rPr>
            <sz val="9"/>
            <rFont val="MS PGothic"/>
            <charset val="134"/>
          </rPr>
          <t xml:space="preserve">
[
  {
    "OptionName": "AnswerPhone",
    "Request": 1
  },
  {
    "OptionName": "CallWaiting",
    "Request": 0
  },
  {
    "OptionName": "CallFlatRate",
    "Request": 1,
    "Type": 5
  }
]
</t>
        </r>
      </text>
    </comment>
    <comment ref="E109" authorId="0">
      <text>
        <r>
          <rPr>
            <b/>
            <sz val="9"/>
            <rFont val="MS PGothic"/>
            <charset val="134"/>
          </rPr>
          <t xml:space="preserve">jsonイメージ：
</t>
        </r>
        <r>
          <rPr>
            <sz val="9"/>
            <rFont val="MS PGothic"/>
            <charset val="134"/>
          </rPr>
          <t>[
  {
    "OptionCode": 1,
    "Request": 1
  },
  {
    "OptionCode": 5,
    "Request": 1
  },
  {
    "OptionCode": 9,
    "Request": 0,
    "LisenceList": ["aaaaa", "bbbbb", "ccccc"]
  }
]</t>
        </r>
      </text>
    </comment>
    <comment ref="W109" authorId="0">
      <text>
        <r>
          <rPr>
            <b/>
            <sz val="9"/>
            <rFont val="MS PGothic"/>
            <charset val="134"/>
          </rPr>
          <t xml:space="preserve">json image：
</t>
        </r>
        <r>
          <rPr>
            <sz val="9"/>
            <rFont val="MS PGothic"/>
            <charset val="134"/>
          </rPr>
          <t>[
  {
    "OptionCode": 1,
    "Request": 1
  },
  {
    "OptionCode": 5,
    "Request": 1
  },
  {
    "OptionCode": 9,
    "Request": 0,
    "LisenceList": ["aaaaa", "bbbbb", "ccccc"]
  }
]</t>
        </r>
      </text>
    </comment>
    <comment ref="E110" authorId="0">
      <text>
        <r>
          <rPr>
            <b/>
            <sz val="9"/>
            <rFont val="MS PGothic"/>
            <charset val="134"/>
          </rPr>
          <t xml:space="preserve">jsonイメージ：
</t>
        </r>
        <r>
          <rPr>
            <sz val="9"/>
            <rFont val="MS PGothic"/>
            <charset val="134"/>
          </rPr>
          <t xml:space="preserve">[
  {
    "Name": "WorldCall",
    "Request": 1,
    "Limit": "20000"
  },
  {
    "Name": "WorldWing",
    "Request": 1,
    "Limit": "50000"
  }
]
■WorldCall 国際電話上限目安額 指定可能値
　数値に円をつけたら金額になる
　99999999 は金額無制限
5000, 10000, </t>
        </r>
        <r>
          <rPr>
            <u/>
            <sz val="9"/>
            <rFont val="MS PGothic"/>
            <charset val="134"/>
          </rPr>
          <t>20000</t>
        </r>
        <r>
          <rPr>
            <sz val="9"/>
            <rFont val="MS PGothic"/>
            <charset val="134"/>
          </rPr>
          <t xml:space="preserve">, 30000, 40000, 50000, 60000, 70000, 80000, 90000, 100000, 150000, 200000, 250000, 300000,  ,400000, 500000, 600000, 800000, 1000000, 99999999
■WorldWing 国際ローミング上限目安額 指定可能値
</t>
        </r>
        <r>
          <rPr>
            <u/>
            <sz val="9"/>
            <rFont val="MS PGothic"/>
            <charset val="134"/>
          </rPr>
          <t>50000</t>
        </r>
        <r>
          <rPr>
            <sz val="9"/>
            <rFont val="MS PGothic"/>
            <charset val="134"/>
          </rPr>
          <t>, 100000, 200000, 300000, 400000, 500000, 600000, 700000, 800000, 900000, 1000000, 99999999</t>
        </r>
      </text>
    </comment>
    <comment ref="W110" authorId="0">
      <text>
        <r>
          <rPr>
            <b/>
            <sz val="9"/>
            <rFont val="MS PGothic"/>
            <charset val="134"/>
          </rPr>
          <t xml:space="preserve">json image：
</t>
        </r>
        <r>
          <rPr>
            <sz val="9"/>
            <rFont val="MS PGothic"/>
            <charset val="134"/>
          </rPr>
          <t xml:space="preserve">[
  {
    "Name": "WorldCall",
    "Request": 1,
    "Limit": "20000"
  },
  {
    "Name": "WorldWing",
    "Request": 1,
    "Limit": "50000"
  }
]
■WorldCall International Call Upper Limit Reference Amount – Allowed Values
　Add "yen" to the number to represent the amount
　99999999 = No limit
5000, 10000, 20000, 30000, 40000, 50000, 60000, 70000, 80000, 90000, 100000,
150000, 200000, 250000, 300000, 400000, 500000, 600000, 800000, 1000000, 99999999
■WorldWing International Roaming Upper Limit Reference Amount – Allowed Values
</t>
        </r>
        <r>
          <rPr>
            <u/>
            <sz val="9"/>
            <rFont val="MS PGothic"/>
            <charset val="134"/>
          </rPr>
          <t>50000</t>
        </r>
        <r>
          <rPr>
            <sz val="9"/>
            <rFont val="MS PGothic"/>
            <charset val="134"/>
          </rPr>
          <t>, 100000, 200000, 300000, 400000, 500000, 600000, 700000, 800000, 900000, 1000000, 99999999</t>
        </r>
      </text>
    </comment>
  </commentList>
</comments>
</file>

<file path=xl/sharedStrings.xml><?xml version="1.0" encoding="utf-8"?>
<sst xmlns="http://schemas.openxmlformats.org/spreadsheetml/2006/main" count="11837" uniqueCount="1813">
  <si>
    <t>#</t>
  </si>
  <si>
    <t>日付</t>
  </si>
  <si>
    <t>版数</t>
  </si>
  <si>
    <t>変更箇所</t>
  </si>
  <si>
    <t>変更内容</t>
  </si>
  <si>
    <t>変更者</t>
  </si>
  <si>
    <t>備考</t>
  </si>
  <si>
    <t>1.0</t>
  </si>
  <si>
    <t>-</t>
  </si>
  <si>
    <t>初版作成</t>
  </si>
  <si>
    <t>マスタデータ</t>
  </si>
  <si>
    <t>スキーマ</t>
  </si>
  <si>
    <t>種別</t>
  </si>
  <si>
    <r>
      <rPr>
        <b/>
        <sz val="9"/>
        <rFont val="ＭＳ ゴシック"/>
        <charset val="128"/>
      </rPr>
      <t>物理名</t>
    </r>
    <r>
      <rPr>
        <b/>
        <sz val="9"/>
        <color rgb="FFFF0000"/>
        <rFont val="ＭＳ ゴシック"/>
        <charset val="128"/>
      </rPr>
      <t>(old)</t>
    </r>
  </si>
  <si>
    <t xml:space="preserve">物理名
</t>
  </si>
  <si>
    <t>論理名</t>
  </si>
  <si>
    <t>説明</t>
  </si>
  <si>
    <t>マスタ</t>
  </si>
  <si>
    <t>メンテ</t>
  </si>
  <si>
    <t>ANAX 対応化メモ</t>
  </si>
  <si>
    <t>lookup</t>
  </si>
  <si>
    <t>コード定義マスタ</t>
  </si>
  <si>
    <t>○</t>
  </si>
  <si>
    <t>brand</t>
  </si>
  <si>
    <t>ブランドマスタ</t>
  </si>
  <si>
    <t>service</t>
  </si>
  <si>
    <t>サービスマスタ</t>
  </si>
  <si>
    <t>service_plan</t>
  </si>
  <si>
    <t>サービスプランマスタ</t>
  </si>
  <si>
    <t>device</t>
  </si>
  <si>
    <t>機器種別マスタ</t>
  </si>
  <si>
    <t>identity_customer</t>
  </si>
  <si>
    <t>本人性確認履歴管理</t>
  </si>
  <si>
    <t>qt_send</t>
  </si>
  <si>
    <t>Qt連携送信履歴管理</t>
  </si>
  <si>
    <t>qt_receive</t>
  </si>
  <si>
    <t>Qt連携受信履歴管理</t>
  </si>
  <si>
    <t>contract_service</t>
  </si>
  <si>
    <t>契約サービス情報</t>
  </si>
  <si>
    <t>SO側で管理されている契約単位の情報</t>
  </si>
  <si>
    <t>いらないかも</t>
  </si>
  <si>
    <t>order_info</t>
  </si>
  <si>
    <t>申込情報</t>
  </si>
  <si>
    <t>申込情報を管理</t>
  </si>
  <si>
    <t>sim_order_info</t>
  </si>
  <si>
    <t>申込サービス固有情報</t>
  </si>
  <si>
    <t>SIMサービスに対するサービス固有情報を管理</t>
  </si>
  <si>
    <t>order_device, delivery_info を統合</t>
  </si>
  <si>
    <t>send_mail</t>
  </si>
  <si>
    <t>送信メール管理</t>
  </si>
  <si>
    <t>メールをSendGridに向けて送信する</t>
  </si>
  <si>
    <t>09/01 delete</t>
  </si>
  <si>
    <t>illegal_order</t>
  </si>
  <si>
    <t>クレカ不正利用オーダ情報</t>
  </si>
  <si>
    <t>不要削除</t>
  </si>
  <si>
    <t>qt_order</t>
  </si>
  <si>
    <t>Qtオーダ情報</t>
  </si>
  <si>
    <t>que_ctrl</t>
  </si>
  <si>
    <t>キュー管理</t>
  </si>
  <si>
    <t>que_request</t>
  </si>
  <si>
    <t>キュー依頼管理</t>
  </si>
  <si>
    <t>que_result</t>
  </si>
  <si>
    <t>キュー結果管理</t>
  </si>
  <si>
    <t>que_error_ctrl</t>
  </si>
  <si>
    <t>エラーキュー管理</t>
  </si>
  <si>
    <t>maintenance_info</t>
  </si>
  <si>
    <t>メンテナンス管理</t>
  </si>
  <si>
    <t>iij_send</t>
  </si>
  <si>
    <t>IIJ連携送信履歴管理</t>
  </si>
  <si>
    <t>iij_receive</t>
  </si>
  <si>
    <t>IIJ連携受信履歴管理</t>
  </si>
  <si>
    <t>iij_progress</t>
  </si>
  <si>
    <t>IIJ進捗管理</t>
  </si>
  <si>
    <t>iij_order_sim</t>
  </si>
  <si>
    <t>IIJ_SIM発注リスト</t>
  </si>
  <si>
    <t>08/29 delete</t>
  </si>
  <si>
    <t>T_SOD_SIM_STOCK</t>
  </si>
  <si>
    <t>SIM在庫</t>
  </si>
  <si>
    <t>09/08 add</t>
  </si>
  <si>
    <t>T_SOD_IIJ_LINE_LIST</t>
  </si>
  <si>
    <t>IIJ回線情報一覧</t>
  </si>
  <si>
    <t>getLineList のレスポンスを保持(回線サービスコードが欲しいから)</t>
  </si>
  <si>
    <t>Master Data</t>
  </si>
  <si>
    <t>Schema</t>
  </si>
  <si>
    <t>物理名(old)</t>
  </si>
  <si>
    <t>Physical name</t>
  </si>
  <si>
    <t>Logical Name</t>
  </si>
  <si>
    <t>Explanation</t>
  </si>
  <si>
    <t>Master</t>
  </si>
  <si>
    <t>Mainten</t>
  </si>
  <si>
    <t>Remarks</t>
  </si>
  <si>
    <t>ANAX Support Memo</t>
  </si>
  <si>
    <t>M_SOD_LOOKUP</t>
  </si>
  <si>
    <t>M_SOD_BRAND</t>
  </si>
  <si>
    <t>M_SOD_SERVICE</t>
  </si>
  <si>
    <t>M_SOD_SERVICE_PLAN</t>
  </si>
  <si>
    <t>M_SOD_DEVICE</t>
  </si>
  <si>
    <t>T_SOD_IDENTITY_CUSTOMER</t>
  </si>
  <si>
    <t>T_SOD_QT_SEND</t>
  </si>
  <si>
    <t>T_SOD_QT_RECEIVE</t>
  </si>
  <si>
    <t>T_SOD_CONTRACT_SERVICE</t>
  </si>
  <si>
    <t>The information for contract unit managed by the SO</t>
  </si>
  <si>
    <t>Maybe we don't need it</t>
  </si>
  <si>
    <t>T_SOD_ORDER_INFO</t>
  </si>
  <si>
    <t>Manages application information</t>
  </si>
  <si>
    <t>T_SOD_SIM_ORDER_INFO</t>
  </si>
  <si>
    <t>Manages service-specific information for SIM service</t>
  </si>
  <si>
    <t>Integrate order_device and delivery_info</t>
  </si>
  <si>
    <t>T_SOD_SEND_MAIL</t>
  </si>
  <si>
    <t>Sending emails to SendGrid</t>
  </si>
  <si>
    <t>M_SOD_ILLEGAL_ORDER</t>
  </si>
  <si>
    <t>Delete if not used in the blacklist</t>
  </si>
  <si>
    <t>Blacklist</t>
  </si>
  <si>
    <t>T_SOD_QT_ORDER</t>
  </si>
  <si>
    <t>T_SOD_QUE_CTRL</t>
  </si>
  <si>
    <t>T_SOD_QUE_REQUEST</t>
  </si>
  <si>
    <t>T_SOD_QUE_RESULT</t>
  </si>
  <si>
    <t>T_SOD_QUE_ERROR_CTRL</t>
  </si>
  <si>
    <t>T_SOD_MAINTENANCE_INFO</t>
  </si>
  <si>
    <t>T_SOD_IIJ_SEND</t>
  </si>
  <si>
    <t>T_SOD_IIJ_RECEIVE</t>
  </si>
  <si>
    <t>T_SOD_IIJ_PROGRESS</t>
  </si>
  <si>
    <t>T_SOD_IIJ_ORDER_SIM</t>
  </si>
  <si>
    <t>タイプI SIM在庫</t>
  </si>
  <si>
    <t>テーブル名</t>
  </si>
  <si>
    <t>Table Name</t>
  </si>
  <si>
    <t>カラム名</t>
  </si>
  <si>
    <t>型</t>
  </si>
  <si>
    <t>size</t>
  </si>
  <si>
    <t>必須</t>
  </si>
  <si>
    <t>default</t>
  </si>
  <si>
    <t>追加属性</t>
  </si>
  <si>
    <t>index</t>
  </si>
  <si>
    <t>Colume Name</t>
  </si>
  <si>
    <t>Type</t>
  </si>
  <si>
    <t>Required</t>
  </si>
  <si>
    <t>Additional attribute</t>
  </si>
  <si>
    <t>Remark</t>
  </si>
  <si>
    <t>Code definition master</t>
  </si>
  <si>
    <t>id</t>
  </si>
  <si>
    <t>定義ID</t>
  </si>
  <si>
    <t>VARCHAR</t>
  </si>
  <si>
    <t>varchar</t>
  </si>
  <si>
    <t>pk_1</t>
  </si>
  <si>
    <t>code</t>
  </si>
  <si>
    <t>コードID</t>
  </si>
  <si>
    <t>pk_2</t>
  </si>
  <si>
    <t>name</t>
  </si>
  <si>
    <t>コード名</t>
  </si>
  <si>
    <t>remarks</t>
  </si>
  <si>
    <t>delete_flg</t>
  </si>
  <si>
    <t>削除フラグ</t>
  </si>
  <si>
    <t>ture: 有効(削除済)
false: 無効(未削除)</t>
  </si>
  <si>
    <t>TINYINT</t>
  </si>
  <si>
    <t>boolean</t>
  </si>
  <si>
    <t>false</t>
  </si>
  <si>
    <t>追加</t>
  </si>
  <si>
    <t>true: Valid (Deleted)
false: Invalid (Not deleted)</t>
  </si>
  <si>
    <t>Addition</t>
  </si>
  <si>
    <t>version</t>
  </si>
  <si>
    <t>バージョン</t>
  </si>
  <si>
    <t>0始まり(更新ごとに+1する)</t>
  </si>
  <si>
    <t>bigint</t>
  </si>
  <si>
    <t>Starting from 0 (incremented by +1 with each update)</t>
  </si>
  <si>
    <t>created_by</t>
  </si>
  <si>
    <t>登録者ID</t>
  </si>
  <si>
    <t>created_path</t>
  </si>
  <si>
    <t>登録パス</t>
  </si>
  <si>
    <t>バッチIDを登録</t>
  </si>
  <si>
    <t>Register batch ID</t>
  </si>
  <si>
    <t>created_dt</t>
  </si>
  <si>
    <t>レコード登録日時</t>
  </si>
  <si>
    <t>DATETIME</t>
  </si>
  <si>
    <t>timestamp</t>
  </si>
  <si>
    <t>updated_by</t>
  </si>
  <si>
    <t>更新者ID</t>
  </si>
  <si>
    <t>updated_path</t>
  </si>
  <si>
    <t>更新パス</t>
  </si>
  <si>
    <t>INSERT/UPDATE時に操作した画面ID、バッチIDを設定</t>
  </si>
  <si>
    <t>バッチIDで更新</t>
  </si>
  <si>
    <t>Set the screen ID and batch ID operated at the time of INSERT/UPDATE</t>
  </si>
  <si>
    <t>Update by batch ID</t>
  </si>
  <si>
    <t>updated_dt</t>
  </si>
  <si>
    <t>レコード更新日時</t>
  </si>
  <si>
    <t>Brand Master</t>
  </si>
  <si>
    <t>brand_id</t>
  </si>
  <si>
    <t>ブランドID</t>
  </si>
  <si>
    <t>0, 1</t>
  </si>
  <si>
    <t>pk</t>
  </si>
  <si>
    <t>brand_name</t>
  </si>
  <si>
    <t>ブランド名</t>
  </si>
  <si>
    <t>共通, ANAモバイル</t>
  </si>
  <si>
    <r>
      <rPr>
        <sz val="9"/>
        <rFont val="ＭＳ ゴシック"/>
        <charset val="128"/>
      </rPr>
      <t xml:space="preserve">0: 共通
</t>
    </r>
    <r>
      <rPr>
        <sz val="9"/>
        <color rgb="FFFF0000"/>
        <rFont val="ＭＳ ゴシック"/>
        <charset val="128"/>
      </rPr>
      <t>1: ANA</t>
    </r>
    <r>
      <rPr>
        <sz val="9"/>
        <rFont val="ＭＳ ゴシック"/>
        <charset val="128"/>
      </rPr>
      <t>モバイル</t>
    </r>
  </si>
  <si>
    <t>Common, ANA Mobile</t>
  </si>
  <si>
    <r>
      <rPr>
        <sz val="9"/>
        <rFont val="ＭＳ ゴシック"/>
        <charset val="128"/>
      </rPr>
      <t xml:space="preserve">0: Common
</t>
    </r>
    <r>
      <rPr>
        <sz val="9"/>
        <color rgb="FFFF0000"/>
        <rFont val="ＭＳ ゴシック"/>
        <charset val="128"/>
      </rPr>
      <t>1: ANA mobile</t>
    </r>
  </si>
  <si>
    <t>Service Master</t>
  </si>
  <si>
    <t>service_id</t>
  </si>
  <si>
    <t>サービスID</t>
  </si>
  <si>
    <t>0, 101</t>
  </si>
  <si>
    <t>service_name</t>
  </si>
  <si>
    <t>サービス名</t>
  </si>
  <si>
    <t>共通
ANAモバイル</t>
  </si>
  <si>
    <r>
      <rPr>
        <sz val="9"/>
        <rFont val="ＭＳ ゴシック"/>
        <charset val="128"/>
      </rPr>
      <t xml:space="preserve">0, 0, 共通
</t>
    </r>
    <r>
      <rPr>
        <sz val="9"/>
        <color rgb="FFFF0000"/>
        <rFont val="ＭＳ ゴシック"/>
        <charset val="128"/>
      </rPr>
      <t>101, 1, ANAモバイル</t>
    </r>
  </si>
  <si>
    <r>
      <rPr>
        <sz val="9"/>
        <rFont val="ＭＳ ゴシック"/>
        <charset val="128"/>
      </rPr>
      <t xml:space="preserve">0, 0, Common
</t>
    </r>
    <r>
      <rPr>
        <sz val="9"/>
        <color rgb="FFFF0000"/>
        <rFont val="ＭＳ ゴシック"/>
        <charset val="128"/>
      </rPr>
      <t>101, 1, ANA mobile</t>
    </r>
  </si>
  <si>
    <t>Service Plan Master</t>
  </si>
  <si>
    <t>service_plan_id</t>
  </si>
  <si>
    <t>サービスプランID</t>
  </si>
  <si>
    <t>データプランのID</t>
  </si>
  <si>
    <t>Data plan ID</t>
  </si>
  <si>
    <t>101: ANAモバイル</t>
  </si>
  <si>
    <t>101</t>
  </si>
  <si>
    <t>101 固定</t>
  </si>
  <si>
    <t>101: ANA Mobile</t>
  </si>
  <si>
    <t>101 fixed</t>
  </si>
  <si>
    <t>service_plan_name</t>
  </si>
  <si>
    <t>サービスプラン名</t>
  </si>
  <si>
    <t>ix1</t>
  </si>
  <si>
    <t>option01</t>
  </si>
  <si>
    <t>予備コード１</t>
  </si>
  <si>
    <t>データ容量定義</t>
  </si>
  <si>
    <t>Data capacity definition</t>
  </si>
  <si>
    <t>option02</t>
  </si>
  <si>
    <t>予備コード２</t>
  </si>
  <si>
    <t>0: マルチプラン
1: シングルプラン</t>
  </si>
  <si>
    <t>'1'</t>
  </si>
  <si>
    <t>初期開発ではシングルプランのみ</t>
  </si>
  <si>
    <t>0: Multi-Plan
1: Single Plan</t>
  </si>
  <si>
    <t>Only single plan available for initial development</t>
  </si>
  <si>
    <t>option03</t>
  </si>
  <si>
    <t>予備コード３</t>
  </si>
  <si>
    <t>未使用</t>
  </si>
  <si>
    <t>Not use</t>
  </si>
  <si>
    <t>option04</t>
  </si>
  <si>
    <t>予備コード４</t>
  </si>
  <si>
    <t>option05</t>
  </si>
  <si>
    <t>予備コード５</t>
  </si>
  <si>
    <t>option06</t>
  </si>
  <si>
    <t>予備コード６</t>
  </si>
  <si>
    <t>option07</t>
  </si>
  <si>
    <t>予備コード７</t>
  </si>
  <si>
    <t>option08</t>
  </si>
  <si>
    <t>予備コード８</t>
  </si>
  <si>
    <t>option09</t>
  </si>
  <si>
    <t>予備コード９</t>
  </si>
  <si>
    <t>option10</t>
  </si>
  <si>
    <t>予備コード１０</t>
  </si>
  <si>
    <t>Device type master</t>
  </si>
  <si>
    <t>device_id</t>
  </si>
  <si>
    <t>機器種別ID</t>
  </si>
  <si>
    <r>
      <rPr>
        <sz val="9"/>
        <color rgb="FFFF0000"/>
        <rFont val="ＭＳ ゴシック"/>
        <charset val="128"/>
      </rPr>
      <t xml:space="preserve">DS015: docomo SIMカード (データ)
DS016: docomo SIMカード (SMS)
DS017: docomo SIMカード (音声通話)
</t>
    </r>
    <r>
      <rPr>
        <sz val="9"/>
        <rFont val="ＭＳ ゴシック"/>
        <charset val="128"/>
      </rPr>
      <t xml:space="preserve">DS050: docomo eSIM (SMS)
DSE051: docomo eSIM (音声通話)
</t>
    </r>
    <r>
      <rPr>
        <sz val="9"/>
        <color rgb="FFFF0000"/>
        <rFont val="ＭＳ ゴシック"/>
        <charset val="128"/>
      </rPr>
      <t xml:space="preserve">KS013：KDDI SIMカード (SMS)
KS014：KDDI SIMカード (音声通話)
</t>
    </r>
    <r>
      <rPr>
        <sz val="9"/>
        <rFont val="ＭＳ ゴシック"/>
        <charset val="128"/>
      </rPr>
      <t xml:space="preserve">KS048：KDDI eSIM (SMS)
KS049：KDDI eSIM (音声通話)
IS002: IIJ eSIM
</t>
    </r>
  </si>
  <si>
    <t xml:space="preserve">DS015: docomo pSIM (Data)
DS016: docomo pSIM (SMS)
DS017: docomo pSIM (Voce call)
DS050: docomo eSIM (SMS)
DS051: docomo eSIM (Voce call)
KS013：KDDI pSIM (SMS)
KS014：KDDI pSIM (Voce call)
KS048：KDDI eSIM (SMS)
KS049：KDDI eSIM (Voce call)
IS002: IIJ eSIM
</t>
  </si>
  <si>
    <t>device_type</t>
  </si>
  <si>
    <t>機器タイプ</t>
  </si>
  <si>
    <t>1: SIMカード
2: eSIM</t>
  </si>
  <si>
    <t>smallint</t>
  </si>
  <si>
    <t>1 固定</t>
  </si>
  <si>
    <t>1: SIM</t>
  </si>
  <si>
    <t>1 fixed</t>
  </si>
  <si>
    <t>refs</t>
  </si>
  <si>
    <t>付加属性</t>
  </si>
  <si>
    <r>
      <rPr>
        <sz val="9"/>
        <rFont val="ＭＳ ゴシック"/>
        <charset val="128"/>
      </rPr>
      <t xml:space="preserve">現時点ではSIMについての付加属性値のみを想定する。
0: 無指定（SIM以外のdeviceならコレ）
■タイプD (docomo)
</t>
    </r>
    <r>
      <rPr>
        <sz val="9"/>
        <color rgb="FFFF0000"/>
        <rFont val="ＭＳ ゴシック"/>
        <charset val="128"/>
      </rPr>
      <t xml:space="preserve">15：マルチSIMカード (データ)
16：マルチSIMカード (SMS)
17：マルチSIMカード (音声通話)
</t>
    </r>
    <r>
      <rPr>
        <sz val="9"/>
        <rFont val="ＭＳ ゴシック"/>
        <charset val="128"/>
      </rPr>
      <t xml:space="preserve">50：eSIM (SMS)
51：eSIM (音声通話)
■タイプK (kddi)
</t>
    </r>
    <r>
      <rPr>
        <sz val="9"/>
        <color rgb="FFFF0000"/>
        <rFont val="ＭＳ ゴシック"/>
        <charset val="128"/>
      </rPr>
      <t xml:space="preserve">13：マルチSIMカード (SMS)
14：マルチSIMカード (音声通話)
</t>
    </r>
    <r>
      <rPr>
        <sz val="9"/>
        <rFont val="ＭＳ ゴシック"/>
        <charset val="128"/>
      </rPr>
      <t xml:space="preserve">48：eSIM (SMS)
49：eSIM (音声通話)
■タイプI (iij)
</t>
    </r>
    <r>
      <rPr>
        <sz val="9"/>
        <color rgb="FFFF0000"/>
        <rFont val="ＭＳ ゴシック"/>
        <charset val="128"/>
      </rPr>
      <t>44</t>
    </r>
    <r>
      <rPr>
        <sz val="9"/>
        <rFont val="ＭＳ ゴシック"/>
        <charset val="128"/>
      </rPr>
      <t>：SMS SIM</t>
    </r>
  </si>
  <si>
    <t>現状、0 となることはない
IIJのコード体系に合わせる</t>
  </si>
  <si>
    <t>Currently, only SIM-related attribute values ​​are considered.
0: Unspecified (Use this for devices other than SIM)
■ Type D (docomo)
15: Multi-SIM Card (Data)
16: Multi-SIM Card (SMS)
17: Multi-SIM Card (Voice)
50: eSIM (SMS)
51: eSIM (Voice)
■ Type K (kddi)
13: Multi SIM Card (SMS)
14: Multi SIM Card (Voice call)
48: eSIM (SMS)
49: eSIM (Voice call)
■ Type I (iij)
2: SMS SIM</t>
  </si>
  <si>
    <t>Currently, it will not be 0.
Align with IIJ's code system.</t>
  </si>
  <si>
    <t>warehouse_id</t>
  </si>
  <si>
    <t>所属倉庫ID</t>
  </si>
  <si>
    <t>1: IIJ</t>
  </si>
  <si>
    <t>SMALLINT</t>
  </si>
  <si>
    <t>delivery_start_time</t>
  </si>
  <si>
    <t>出荷開始日時</t>
  </si>
  <si>
    <t>出荷指示を開始してよい日時。</t>
  </si>
  <si>
    <t>'2025/01/01 00:00:00'</t>
  </si>
  <si>
    <t>基本未使用なので、固定値を設定：
2025/01/01 00:00:00</t>
  </si>
  <si>
    <t>The date and time when shipping instructions can start.</t>
  </si>
  <si>
    <t>Since it’s basically unused, set a fixed value:
2025/01/01 00:00:00</t>
  </si>
  <si>
    <t>maker_id</t>
  </si>
  <si>
    <t>メーカーID</t>
  </si>
  <si>
    <t>maker_name</t>
  </si>
  <si>
    <t>メーカー名</t>
  </si>
  <si>
    <t>jan_code</t>
  </si>
  <si>
    <t>JANコード</t>
  </si>
  <si>
    <t>device_name</t>
  </si>
  <si>
    <t>機器種別名称</t>
  </si>
  <si>
    <t>stock_threshold</t>
  </si>
  <si>
    <t>在庫数閾値</t>
  </si>
  <si>
    <t>INT</t>
  </si>
  <si>
    <t>integer</t>
  </si>
  <si>
    <t>serial_flg</t>
  </si>
  <si>
    <t>シリアル管理要否フラグ</t>
  </si>
  <si>
    <t>true: 要
false: 不要</t>
  </si>
  <si>
    <t>hide_flg</t>
  </si>
  <si>
    <t>画面非表示用フラグ</t>
  </si>
  <si>
    <t>true: show
false: hide</t>
  </si>
  <si>
    <t>certificate_flg</t>
  </si>
  <si>
    <t>購入証明書発行要否フラグ</t>
  </si>
  <si>
    <t>stock_type</t>
  </si>
  <si>
    <t>在庫タイプ</t>
  </si>
  <si>
    <t>true: 通常在庫
false: 在庫設定なし（チラシなどの在庫制限がないもの。かつテレマス登録不要）</t>
  </si>
  <si>
    <t>Identity verification history management</t>
  </si>
  <si>
    <t>tb_identity_customer</t>
  </si>
  <si>
    <t>連番</t>
  </si>
  <si>
    <t>BIGINT</t>
  </si>
  <si>
    <t>bigserial</t>
  </si>
  <si>
    <t>auto_increment</t>
  </si>
  <si>
    <t>receive_id</t>
  </si>
  <si>
    <t>TB連携取込履歴管理のID</t>
  </si>
  <si>
    <t>numeric</t>
  </si>
  <si>
    <t>ra</t>
  </si>
  <si>
    <t>ra番号</t>
  </si>
  <si>
    <t>TB管理番号（ra番号)</t>
  </si>
  <si>
    <t>ix1_1</t>
  </si>
  <si>
    <t>TB management number (ra number)</t>
  </si>
  <si>
    <t>result</t>
  </si>
  <si>
    <t>本人性確認の処理結果</t>
  </si>
  <si>
    <t xml:space="preserve">郵送KYC/eKYCの結果コードにあわせる
</t>
  </si>
  <si>
    <t>ix1_2</t>
  </si>
  <si>
    <t>Match with eKYC result code</t>
  </si>
  <si>
    <t>family_name</t>
  </si>
  <si>
    <t>契約者姓（漢字）</t>
  </si>
  <si>
    <t>given_name</t>
  </si>
  <si>
    <t>契約者名（漢字）</t>
  </si>
  <si>
    <t>family_name_kana</t>
  </si>
  <si>
    <t>契約者姓（フリガナ）</t>
  </si>
  <si>
    <t>given_name_kana</t>
  </si>
  <si>
    <t>契約者名（フリガナ）</t>
  </si>
  <si>
    <t>birthday</t>
  </si>
  <si>
    <t>契約者生年月日（西暦）</t>
  </si>
  <si>
    <t>yyyy/mm/dd</t>
  </si>
  <si>
    <t>zip</t>
  </si>
  <si>
    <t>契約者郵便番号</t>
  </si>
  <si>
    <t>(ハイフンなし)</t>
  </si>
  <si>
    <t>(No hyphen)</t>
  </si>
  <si>
    <t>address1</t>
  </si>
  <si>
    <t>契約者住所1</t>
  </si>
  <si>
    <t>都道府県市区町村番地</t>
  </si>
  <si>
    <t>Prefecture, City/Ward/Town/Village, Address Number</t>
  </si>
  <si>
    <t>address2</t>
  </si>
  <si>
    <t>契約者住所2</t>
  </si>
  <si>
    <t>ビル名など</t>
  </si>
  <si>
    <t>Building name, etc.</t>
  </si>
  <si>
    <t>user_type</t>
  </si>
  <si>
    <t>顧客種別</t>
  </si>
  <si>
    <t>1:契約者
2:利用者</t>
  </si>
  <si>
    <t>1:Customer
2:User</t>
  </si>
  <si>
    <t>status</t>
  </si>
  <si>
    <t>処理ステータス</t>
  </si>
  <si>
    <t>0:作成中(受信中)
1:未処理
2:処理中
3:処理済
9:エラー</t>
  </si>
  <si>
    <t>ix1_3</t>
  </si>
  <si>
    <t>0: Creating (Receiving)
1: Unprocessed
2: Processing
3: Processed
9: Error</t>
  </si>
  <si>
    <t>add</t>
  </si>
  <si>
    <t>Register the batch ID</t>
  </si>
  <si>
    <t>created_date</t>
  </si>
  <si>
    <t>Update the batch ID</t>
  </si>
  <si>
    <t>updated_date</t>
  </si>
  <si>
    <t>★連携データ登録時の設定項目</t>
  </si>
  <si>
    <t>IIJ Linkage Sending History Management</t>
  </si>
  <si>
    <t>iij_send_data</t>
  </si>
  <si>
    <t>○：必須、▲：MNP必須</t>
  </si>
  <si>
    <r>
      <rPr>
        <sz val="9"/>
        <color rgb="FFFF0000"/>
        <rFont val="ＭＳ ゴシック"/>
        <charset val="128"/>
      </rPr>
      <t>II601</t>
    </r>
    <r>
      <rPr>
        <sz val="9"/>
        <rFont val="ＭＳ ゴシック"/>
        <charset val="128"/>
      </rPr>
      <t>:OSMNP予約番号取得(referenceMNPOS)</t>
    </r>
  </si>
  <si>
    <t>II001:SIM発注(orderLine)</t>
  </si>
  <si>
    <t>II002:SIM発注(ESIMLineOrder)</t>
  </si>
  <si>
    <t>II002:新規発番(bindFirstLine)</t>
  </si>
  <si>
    <t xml:space="preserve">II102:MNP(bindFirstLine) </t>
  </si>
  <si>
    <t>II201:MNP予約(継続利用) ※OLV未使用</t>
  </si>
  <si>
    <r>
      <rPr>
        <sz val="9"/>
        <rFont val="ＭＳ Ｐゴシック"/>
        <charset val="128"/>
      </rPr>
      <t xml:space="preserve">II300:SIM交換(音声SIM)(同番交換)
</t>
    </r>
    <r>
      <rPr>
        <b/>
        <sz val="9"/>
        <rFont val="ＭＳ Ｐゴシック"/>
        <charset val="128"/>
      </rPr>
      <t>switchLine</t>
    </r>
  </si>
  <si>
    <r>
      <rPr>
        <sz val="9"/>
        <rFont val="ＭＳ Ｐゴシック"/>
        <charset val="128"/>
      </rPr>
      <t xml:space="preserve">II301:SIM交換(データSIM)(異番交換)
</t>
    </r>
    <r>
      <rPr>
        <b/>
        <sz val="9"/>
        <rFont val="ＭＳ Ｐゴシック"/>
        <charset val="128"/>
      </rPr>
      <t>bindLine</t>
    </r>
  </si>
  <si>
    <t>II310:通話オプション変更</t>
  </si>
  <si>
    <t>II31X:モバイルオプション変更</t>
  </si>
  <si>
    <t>II404:プラン変更     ※OLV未使用</t>
  </si>
  <si>
    <t>II400:利用中断・再開 ※OLV未使用</t>
  </si>
  <si>
    <t>II401:申出解約</t>
  </si>
  <si>
    <t>II500:回線情報取得(KPU)</t>
  </si>
  <si>
    <t>II501:回線グループ情報取得(KPG</t>
  </si>
  <si>
    <t>処理状態</t>
  </si>
  <si>
    <r>
      <rPr>
        <sz val="9"/>
        <rFont val="ＭＳ ゴシック"/>
        <charset val="128"/>
      </rPr>
      <t xml:space="preserve">0:作成中(受信中)
</t>
    </r>
    <r>
      <rPr>
        <b/>
        <sz val="9"/>
        <rFont val="ＭＳ ゴシック"/>
        <charset val="128"/>
      </rPr>
      <t>1:未処理</t>
    </r>
    <r>
      <rPr>
        <sz val="9"/>
        <rFont val="ＭＳ ゴシック"/>
        <charset val="128"/>
      </rPr>
      <t xml:space="preserve">
2:処理中
</t>
    </r>
    <r>
      <rPr>
        <b/>
        <sz val="9"/>
        <rFont val="ＭＳ ゴシック"/>
        <charset val="128"/>
      </rPr>
      <t>3:処理済</t>
    </r>
    <r>
      <rPr>
        <sz val="9"/>
        <rFont val="ＭＳ ゴシック"/>
        <charset val="128"/>
      </rPr>
      <t xml:space="preserve">
7:不明
</t>
    </r>
    <r>
      <rPr>
        <b/>
        <sz val="9"/>
        <rFont val="ＭＳ ゴシック"/>
        <charset val="128"/>
      </rPr>
      <t>9:エラー</t>
    </r>
  </si>
  <si>
    <t>ix3_1</t>
  </si>
  <si>
    <r>
      <rPr>
        <sz val="9"/>
        <color rgb="FFFF0000"/>
        <rFont val="ＭＳ ゴシック"/>
        <charset val="128"/>
      </rPr>
      <t xml:space="preserve">0: Creating (Receiving)
</t>
    </r>
    <r>
      <rPr>
        <b/>
        <sz val="9"/>
        <color rgb="FFFF0000"/>
        <rFont val="ＭＳ ゴシック"/>
        <charset val="128"/>
      </rPr>
      <t>1: Unprocessed</t>
    </r>
    <r>
      <rPr>
        <sz val="9"/>
        <color rgb="FFFF0000"/>
        <rFont val="ＭＳ ゴシック"/>
        <charset val="128"/>
      </rPr>
      <t xml:space="preserve">
2: Processing
</t>
    </r>
    <r>
      <rPr>
        <b/>
        <sz val="9"/>
        <color rgb="FFFF0000"/>
        <rFont val="ＭＳ ゴシック"/>
        <charset val="128"/>
      </rPr>
      <t>3: Processed</t>
    </r>
    <r>
      <rPr>
        <sz val="9"/>
        <color rgb="FFFF0000"/>
        <rFont val="ＭＳ ゴシック"/>
        <charset val="128"/>
      </rPr>
      <t xml:space="preserve">
7: Unknown
</t>
    </r>
    <r>
      <rPr>
        <b/>
        <sz val="9"/>
        <color rgb="FFFF0000"/>
        <rFont val="ＭＳ ゴシック"/>
        <charset val="128"/>
      </rPr>
      <t>9: Error</t>
    </r>
  </si>
  <si>
    <t>qt_entry_id</t>
  </si>
  <si>
    <t>Qt受付ID</t>
  </si>
  <si>
    <t>ix5</t>
  </si>
  <si>
    <t>qt_trn_id</t>
  </si>
  <si>
    <t>QtトランザクションID</t>
  </si>
  <si>
    <t>｢"OL" ＋ 年月日 ＋ 通番（5桁）｣を設定する
＊一意となるように設定
例）OLYYYYMMDD00001形式</t>
  </si>
  <si>
    <t>ux0</t>
  </si>
  <si>
    <t>Set "OL" + date + serial number (5 digits)
*Make sure it is unique
Example: OLYYYYMMDD00001 format</t>
  </si>
  <si>
    <t>08/28 delete II321,II500,II501
08/29 add II002</t>
  </si>
  <si>
    <t>qt_prior</t>
  </si>
  <si>
    <t>Qt送信優先度</t>
  </si>
  <si>
    <r>
      <rPr>
        <sz val="9"/>
        <rFont val="ＭＳ ゴシック"/>
        <charset val="128"/>
      </rPr>
      <t xml:space="preserve">qt_trn_type の値により以下を設定する
II001: '450'
</t>
    </r>
    <r>
      <rPr>
        <sz val="9"/>
        <color rgb="FFFF0000"/>
        <rFont val="ＭＳ ゴシック"/>
        <charset val="128"/>
      </rPr>
      <t>II002: '450'</t>
    </r>
    <r>
      <rPr>
        <sz val="9"/>
        <rFont val="ＭＳ ゴシック"/>
        <charset val="128"/>
      </rPr>
      <t xml:space="preserve">
II101: '450'
II102: '450'
II201: '250'
II202: '450'
II300: '450'
II301: '450'
II310: '350'
II311: '350'
II312: '350'
II313: '350'
II314: '350'
II320: '350'
</t>
    </r>
    <r>
      <rPr>
        <strike/>
        <sz val="9"/>
        <color rgb="FFFF0000"/>
        <rFont val="ＭＳ ゴシック"/>
        <charset val="128"/>
      </rPr>
      <t>II321: '350'</t>
    </r>
    <r>
      <rPr>
        <sz val="9"/>
        <rFont val="ＭＳ ゴシック"/>
        <charset val="128"/>
      </rPr>
      <t xml:space="preserve">
II400: '250'
II401: '450'
</t>
    </r>
    <r>
      <rPr>
        <strike/>
        <sz val="9"/>
        <color rgb="FFFF0000"/>
        <rFont val="ＭＳ ゴシック"/>
        <charset val="128"/>
      </rPr>
      <t xml:space="preserve">II500: '250'
II501: '250'
</t>
    </r>
  </si>
  <si>
    <t>ix3_2</t>
  </si>
  <si>
    <t>プロパティで定義しておく</t>
  </si>
  <si>
    <t>Set the following depending on the value of qt_trn_type
II001: '450'
II101: '450'
II102: '450'
II201: '250'
II202: '450'
II300: '450'
II301: '450'
II310: '350'
II311: '350'
II312: '350'
II313: '350'
II314: '350'
II320: '350'
II321: '350'
II400: '250'
II401: '450'
II500: '250'
II501: '250'</t>
  </si>
  <si>
    <t>Define it in the properties</t>
  </si>
  <si>
    <t>08/28 delete II321,II500,II501
08/29 undo delete II002,
add II410:CoolingOFF</t>
  </si>
  <si>
    <t>qt_trn_type</t>
  </si>
  <si>
    <t>Qt申込区分</t>
  </si>
  <si>
    <r>
      <rPr>
        <sz val="9"/>
        <rFont val="ＭＳ ゴシック"/>
        <charset val="128"/>
      </rPr>
      <t xml:space="preserve">II001:SIM発注(orderLine)
</t>
    </r>
    <r>
      <rPr>
        <sz val="9"/>
        <color rgb="FFFF0000"/>
        <rFont val="ＭＳ ゴシック"/>
        <charset val="128"/>
      </rPr>
      <t>II002:SIM発注(ESIMLineOrder)</t>
    </r>
    <r>
      <rPr>
        <sz val="9"/>
        <rFont val="ＭＳ ゴシック"/>
        <charset val="128"/>
      </rPr>
      <t xml:space="preserve">
II101:新規発番(bindFirstLine)
II102:MNP(bindFirstLine) 
II201:MNP予約(ツーストップ継続利用)(requestMNPNumber)
II202:MNP転入(ワンストップ)(getMNPOS)
II300:SIM交換(音声SIM)(同番交換)
(KDDIのみ: switchLine)
II301:SIM交換(SMS/データSIM)(異番交換)(bindLine)
II310:音声オプション変更(setVoiceOption/cancelVoiceOption)
II311:モバイルオプション変更(addMobileOption/cancelMobileOption)
II312:5G通信変更(set5GStatus/unset5GStatus)
II313:DNSフィルタリング変更(setDnsFiltering)
II314:WorldCall/WorldWing変更(docomoのみ)(setWorldCall)
II320:プラン変更(changeBundle)
</t>
    </r>
    <r>
      <rPr>
        <strike/>
        <sz val="9"/>
        <color rgb="FFFF0000"/>
        <rFont val="ＭＳ ゴシック"/>
        <charset val="128"/>
      </rPr>
      <t>II321:データ容量追加(addCoupon)</t>
    </r>
    <r>
      <rPr>
        <sz val="9"/>
        <rFont val="ＭＳ ゴシック"/>
        <charset val="128"/>
      </rPr>
      <t xml:space="preserve">
II400:申出解約(cancelLine)
II401:利用中断・再開(setLinePause/unsetLinePause)</t>
    </r>
    <r>
      <rPr>
        <sz val="9"/>
        <color rgb="FFFF0000"/>
        <rFont val="ＭＳ ゴシック"/>
        <charset val="128"/>
      </rPr>
      <t xml:space="preserve">
II410:クーリングオフ(cancelLine)</t>
    </r>
    <r>
      <rPr>
        <sz val="9"/>
        <rFont val="ＭＳ ゴシック"/>
        <charset val="128"/>
      </rPr>
      <t xml:space="preserve">
</t>
    </r>
    <r>
      <rPr>
        <strike/>
        <sz val="9"/>
        <color rgb="FFFF0000"/>
        <rFont val="ＭＳ ゴシック"/>
        <charset val="128"/>
      </rPr>
      <t>II500:回線情報取得(KPU)
II501:回線グループ情報取得(KPG)</t>
    </r>
    <r>
      <rPr>
        <sz val="9"/>
        <rFont val="ＭＳ ゴシック"/>
        <charset val="128"/>
      </rPr>
      <t xml:space="preserve">
</t>
    </r>
  </si>
  <si>
    <t>IIXXX</t>
  </si>
  <si>
    <t>II001</t>
  </si>
  <si>
    <t>II002</t>
  </si>
  <si>
    <t>II102</t>
  </si>
  <si>
    <t>II201</t>
  </si>
  <si>
    <t>II300</t>
  </si>
  <si>
    <t>II301</t>
  </si>
  <si>
    <t>II310</t>
  </si>
  <si>
    <t>II404</t>
  </si>
  <si>
    <t>II400</t>
  </si>
  <si>
    <t>II401</t>
  </si>
  <si>
    <t>II500</t>
  </si>
  <si>
    <t>II501</t>
  </si>
  <si>
    <r>
      <rPr>
        <sz val="9"/>
        <color rgb="FFFF0000"/>
        <rFont val="ＭＳ ゴシック"/>
        <charset val="128"/>
      </rPr>
      <t xml:space="preserve">II001:SIM発注(orderLine)
II101:新規発番(bindFirstLine)
II102:MNP(bindFirstLine) 
II201:MNP予約(ツーストップ継続利用)(requestMNPNumber)
</t>
    </r>
    <r>
      <rPr>
        <sz val="9"/>
        <color rgb="FF0000FF"/>
        <rFont val="ＭＳ ゴシック"/>
        <charset val="128"/>
      </rPr>
      <t>II202:MNP転入(ワンストップ)(getMNPOS)</t>
    </r>
    <r>
      <rPr>
        <sz val="9"/>
        <color rgb="FFFF0000"/>
        <rFont val="ＭＳ ゴシック"/>
        <charset val="128"/>
      </rPr>
      <t xml:space="preserve">
II300:SIM交換(音声SIM)(同番交換)
(KDDIのみ: switchLine)
II301:SIM交換(SMS/データSIM)(異番交換)(bindLine)
II310:通話オプション変更(setVoiceOption/cancelVoiceOption)
II311:モバイルオプション変更(addMobileOption/cancelMobileOption)
II312:5G通信変更(unset5GStatus/unset5GStatus)
II313:DNSフィルタリング変更(setDnsFiltering)
II314:WorldCall/WorldWing変更(docomoのみ)(setWorldCall)
II320:プラン変更(changeBundle)
II321:データ容量追加(addCoupon)
II400:申出解約(cancelLine)
II401:利用中断・再開(setLinePause/unsetLinePause)
II500:回線情報取得(KPU)
II501:回線グループ情報取得(KPG)
</t>
    </r>
  </si>
  <si>
    <t>send_id</t>
  </si>
  <si>
    <t>送信ID</t>
  </si>
  <si>
    <t>order_id</t>
  </si>
  <si>
    <t>申込ID</t>
  </si>
  <si>
    <t>ix2</t>
  </si>
  <si>
    <t>契約サービスID</t>
  </si>
  <si>
    <t>ra番号ではない何か</t>
  </si>
  <si>
    <t>ix4</t>
  </si>
  <si>
    <t>Something other than a ra number</t>
  </si>
  <si>
    <t>kpu_code</t>
  </si>
  <si>
    <t>回線サービスコード
(KPO/KPU/KPF番号)</t>
  </si>
  <si>
    <t>docomo: KPO
kddi: KPU
iij: KPF</t>
  </si>
  <si>
    <r>
      <rPr>
        <sz val="9"/>
        <rFont val="ＭＳ ゴシック"/>
        <charset val="128"/>
      </rPr>
      <t xml:space="preserve">回線サービスコード
</t>
    </r>
    <r>
      <rPr>
        <sz val="9"/>
        <color rgb="FFFF0000"/>
        <rFont val="ＭＳ ゴシック"/>
        <charset val="128"/>
      </rPr>
      <t>(KPO/KPU/KPF番号)</t>
    </r>
  </si>
  <si>
    <t>kpg_code</t>
  </si>
  <si>
    <t>回線グループサービスコード
(KPG番号)</t>
  </si>
  <si>
    <t>bundle_coupon</t>
  </si>
  <si>
    <t>バンドルクーポン</t>
  </si>
  <si>
    <t>T_SOD_SIM_ORDER_INFO.data_plan</t>
  </si>
  <si>
    <t>max_line</t>
  </si>
  <si>
    <t>回線グループ種別</t>
  </si>
  <si>
    <t>初期時はシングル</t>
  </si>
  <si>
    <t>Initially, single</t>
  </si>
  <si>
    <t>active_type</t>
  </si>
  <si>
    <t>回線種別</t>
  </si>
  <si>
    <t>null のままにしてください</t>
  </si>
  <si>
    <t>1: Data SIM
2: Data + SMS SIM
3: Voice SIM</t>
  </si>
  <si>
    <t>start_date</t>
  </si>
  <si>
    <t>利用開始日</t>
  </si>
  <si>
    <t>YYYYMMDD</t>
  </si>
  <si>
    <t>group_label</t>
  </si>
  <si>
    <t>グループラベル</t>
  </si>
  <si>
    <t>operation</t>
  </si>
  <si>
    <t>オペレーション区分</t>
  </si>
  <si>
    <t>0:利用停止
1:利用再開</t>
  </si>
  <si>
    <t>0: Suspend
1: Resume</t>
  </si>
  <si>
    <t>sim_type</t>
  </si>
  <si>
    <t>SIMカード種別</t>
  </si>
  <si>
    <t>■タイプD (docomo)
15：マルチSIMカード (データ)
16：マルチSIMカード (SMS)
17：マルチSIMカード (音声通話)
50：eSIM (SMS)
51：eSIM (音声通話)
■タイプK (kddi)
13：マルチSIMカード (SMS)
14：マルチSIMカード (音声通話)
48：eSIM (SMS)
49：eSIM (音声通話)
■タイプI (iij)
2：SMS SIM</t>
  </si>
  <si>
    <t>■ Type D (docomo)
15: Multi SIM Card (Data)
16: Multi SIM Card (SMS)
17: Multi SIM Card (Voice call)
50: eSIM (SMS)
51: eSIM (Voice)
■ Type K (kddi)
13: Multi SIM Card (SMS)
14: Multi SIM Card (Voice call)
48: eSIM (SMS)
49: eSIM (Voice call)
■ Type I (iij)
2: SMS SIM</t>
  </si>
  <si>
    <t>eid</t>
  </si>
  <si>
    <t>EID</t>
  </si>
  <si>
    <t>docomo eSIM (新規/交換)で利用する</t>
  </si>
  <si>
    <t>sim_type=「50：eSIM (SMS)」or「51：eSIM (音声通話)」の時のみ設定する</t>
  </si>
  <si>
    <t>Use with docomo eSIM (new/exchange)</t>
  </si>
  <si>
    <t>Set only when sim_type = "50: eSIM (SMS)" or "51: eSIM (Voice Call)"</t>
  </si>
  <si>
    <t>shipping_zip</t>
  </si>
  <si>
    <t>[送付先情報] 郵便番号</t>
  </si>
  <si>
    <t>shipping_address1</t>
  </si>
  <si>
    <t>[送付先情報] 住所1</t>
  </si>
  <si>
    <t>shipping_address2</t>
  </si>
  <si>
    <t>[送付先情報] 住所2</t>
  </si>
  <si>
    <t>shipping_address3</t>
  </si>
  <si>
    <t>[送付先情報] 住所3</t>
  </si>
  <si>
    <t>shipping_address4</t>
  </si>
  <si>
    <t>[送付先情報] 住所4</t>
  </si>
  <si>
    <t>shipping_telno</t>
  </si>
  <si>
    <t>[送付先情報] 連絡先電話番号1</t>
  </si>
  <si>
    <t>固定電話: 10桁
モバイル: 11桁</t>
  </si>
  <si>
    <t>0AJただし、Bは0以外
0AKただし、Bは0</t>
  </si>
  <si>
    <t>Landline: 10 digits
Mobile: 11 digits</t>
  </si>
  <si>
    <t>0AJ, but B is not 0
0AK, but B is 0</t>
  </si>
  <si>
    <t>shipping_mailaddress</t>
  </si>
  <si>
    <t>[送付先情報] メールアドレス</t>
  </si>
  <si>
    <t>uuid</t>
  </si>
  <si>
    <t>UUID
(ワンストップMNP)</t>
  </si>
  <si>
    <t>getMNPOSで使用する</t>
  </si>
  <si>
    <t>Use with getMNPOS</t>
  </si>
  <si>
    <t>mnp_reserved_no</t>
  </si>
  <si>
    <t>MNP予約番号</t>
  </si>
  <si>
    <t>数字10桁</t>
  </si>
  <si>
    <t>10 digit number</t>
  </si>
  <si>
    <t>mnp_expire_date</t>
  </si>
  <si>
    <t>MNP予約番号有効期限</t>
  </si>
  <si>
    <t>tel</t>
  </si>
  <si>
    <t>MNP電話番号</t>
  </si>
  <si>
    <t>mnp_attr</t>
  </si>
  <si>
    <t>MNP属性</t>
  </si>
  <si>
    <t>1:男性
2:女性
3:法人</t>
  </si>
  <si>
    <t>1: Male
2: Female
3: Corporate</t>
  </si>
  <si>
    <t>mnp_kname_sei</t>
  </si>
  <si>
    <t>MNP予約者名カナ（姓）</t>
  </si>
  <si>
    <t>全角カタカナ
※MNP予約者名カナ(姓/名)で59文字まで</t>
  </si>
  <si>
    <t>Full-width katakana
* MNP reservation name kana (last name/first name) up to 59 characters</t>
  </si>
  <si>
    <t>mnp_kname_mei</t>
  </si>
  <si>
    <t>MNP予約者名カナ（名）</t>
  </si>
  <si>
    <t>全角カタカナ
※MNP予約者名カナ(姓/名)で59文字まで
※法人の場合は未設定</t>
  </si>
  <si>
    <t>Full-width katakana
*MNP reservation name in kana (last name/first name) up to 59 characters
*Not set for corporations</t>
  </si>
  <si>
    <t>mnp_name_sei</t>
  </si>
  <si>
    <t>MNP予約者名漢字（姓）</t>
  </si>
  <si>
    <t>※MNP予約者名(姓/名)で39文字まで</t>
  </si>
  <si>
    <t>*Up to 39 characters for the MNP reservation name (last name/first name)</t>
  </si>
  <si>
    <t>mnp_name_mei</t>
  </si>
  <si>
    <t>MNP予約者名漢字（名）</t>
  </si>
  <si>
    <t>※MNP予約者名(姓/名)でて39文字まで
※法人の場合は未設定</t>
  </si>
  <si>
    <t>* The MNP reservation name (last name/first name) can be up to 39 characters.
* Not set for corporate users.</t>
  </si>
  <si>
    <t>mnp_birthday</t>
  </si>
  <si>
    <t>MNP生年月日</t>
  </si>
  <si>
    <t>※法人の場合は未設定</t>
  </si>
  <si>
    <t>*Not set for corporations</t>
  </si>
  <si>
    <t>new_kpu_code</t>
  </si>
  <si>
    <t>新回線サービスコード
（KPO/KPU/KPF番号）</t>
  </si>
  <si>
    <r>
      <rPr>
        <sz val="9"/>
        <rFont val="ＭＳ ゴシック"/>
        <charset val="128"/>
      </rPr>
      <t xml:space="preserve">新回線サービスコード
</t>
    </r>
    <r>
      <rPr>
        <sz val="9"/>
        <color rgb="FF0000FF"/>
        <rFont val="ＭＳ ゴシック"/>
        <charset val="128"/>
      </rPr>
      <t>（KPO/KPU/KPF番号）</t>
    </r>
  </si>
  <si>
    <t>voice_options</t>
  </si>
  <si>
    <t>音声オプション項目</t>
  </si>
  <si>
    <t>T_SOD_SIM_ORDER_INFO.vopt</t>
  </si>
  <si>
    <t>TEXT</t>
  </si>
  <si>
    <t>json</t>
  </si>
  <si>
    <t>▲</t>
  </si>
  <si>
    <t>mobile_options</t>
  </si>
  <si>
    <t>モバイルオプション項目</t>
  </si>
  <si>
    <t>T_SOD_SIM_ORDER_INFO.mopt</t>
  </si>
  <si>
    <t>qt_stime</t>
  </si>
  <si>
    <t>Qt送信時刻</t>
  </si>
  <si>
    <t>qt_rtime</t>
  </si>
  <si>
    <t>Qt受信時刻</t>
  </si>
  <si>
    <t>stime</t>
  </si>
  <si>
    <t>送信時刻</t>
  </si>
  <si>
    <t>rtime</t>
  </si>
  <si>
    <t>受信時刻</t>
  </si>
  <si>
    <t>rcode</t>
  </si>
  <si>
    <t>受信処理結果</t>
  </si>
  <si>
    <t>T_SOD_QT_RECEIVE.order_statusと同値</t>
  </si>
  <si>
    <t>Value same as T_SOD_QT_RECEIVE.order_status</t>
  </si>
  <si>
    <t>error_info</t>
  </si>
  <si>
    <t>エラー情報</t>
  </si>
  <si>
    <t>Qtaro連携時エラー情報</t>
  </si>
  <si>
    <t>Error information when connecting with Qtaro</t>
  </si>
  <si>
    <t xml:space="preserve"> IIJ linkage reception history management</t>
  </si>
  <si>
    <t>iij_receive_data</t>
  </si>
  <si>
    <t>受信ID</t>
  </si>
  <si>
    <t>対応するiij_send_dataレコードのid</t>
  </si>
  <si>
    <t>The id of the corresponding iij_send_data record</t>
  </si>
  <si>
    <t>0:作成中(受信中)
1:未処理
2:処理中
3:処理済
7:不明
9:エラー</t>
  </si>
  <si>
    <t>ix1_2
ix2_2</t>
  </si>
  <si>
    <t>0: Creating (Receiving)
1: Unprocessed
2: Processing
3: Processed
7: Unknown
9: Error</t>
  </si>
  <si>
    <t>ix2_3</t>
  </si>
  <si>
    <t>recv_kind</t>
  </si>
  <si>
    <t>連携先種別</t>
  </si>
  <si>
    <t>3:IIJ のみ</t>
  </si>
  <si>
    <t>3:IIJ only</t>
  </si>
  <si>
    <t>（未使用）</t>
  </si>
  <si>
    <t>ix3</t>
  </si>
  <si>
    <t>Q受付ID</t>
  </si>
  <si>
    <t>order_status</t>
  </si>
  <si>
    <t>オーダステータス</t>
  </si>
  <si>
    <t>status_code</t>
  </si>
  <si>
    <t>ステータスコード</t>
  </si>
  <si>
    <t>200を正常とみなす</t>
  </si>
  <si>
    <t>200 is considered normal</t>
  </si>
  <si>
    <t>回線サービスコード</t>
  </si>
  <si>
    <t>docomo:kpo
kddi:kpu</t>
  </si>
  <si>
    <t>回線グループサービスコード(KPG番号)</t>
  </si>
  <si>
    <t>line_label</t>
  </si>
  <si>
    <t>回線ラベル</t>
  </si>
  <si>
    <t>order_id+Q</t>
  </si>
  <si>
    <t>回線グループラベル</t>
  </si>
  <si>
    <t>tel_no</t>
  </si>
  <si>
    <t>回線電話番号</t>
  </si>
  <si>
    <t>iccid</t>
  </si>
  <si>
    <t>ICCID・IMSI</t>
  </si>
  <si>
    <t>SIM項目</t>
  </si>
  <si>
    <t>■タイプD (docomo)
15：マルチSIMカード (データ)
16：マルチSIMカード (SMS)
17：マルチSIMカード (音声通話)
50：eSIM (SMS)
51：eSIM (音声通話)
■タイプK (kddi)
13：マルチSIMカード (SMS)
14：マルチSIMカード (音声通話)
48：eSIM (SMS)
49：eSIM (音声通話)
■タイプI（iij）
2：SMS SIM</t>
  </si>
  <si>
    <t>■Type D (Docomo)
15: Multi SIM Card (Data)
16: Multi SIM Card (SMS)
17: Multi SIM Card (Voice call)
50: eSIM (SMS)
51: eSIM (Voice call)
■Type K (KDDI)
13: Multi SIM Card (SMS)
14: Multi SIM Card (Voice call)
48: eSIM (SMS)
49: eSIM (Voice call)
■Type I (IIJ)
2: SMS SIM</t>
  </si>
  <si>
    <t>回線利用開始日</t>
  </si>
  <si>
    <t>YYYYMMDD形式</t>
  </si>
  <si>
    <t>YYYYMMDD format</t>
  </si>
  <si>
    <t>activate_date</t>
  </si>
  <si>
    <t>回線アクティベート日</t>
  </si>
  <si>
    <t>cancel_date</t>
  </si>
  <si>
    <t>回線解約日</t>
  </si>
  <si>
    <t>ondemand_mnp_status</t>
  </si>
  <si>
    <t>オンデマンドMNPステータス</t>
  </si>
  <si>
    <t>1:オンデマンドMNP待ち
2:オンデマンドMNP処理中
3:契約中
8:オンデマンドMNP期限切れ
9:オンデマンドMNPエラー</t>
  </si>
  <si>
    <t>1: Waiting for On-Demand MNP
2: On-Demand MNP under Processing
3: Under Contract
8: On-Demand MNP Expired
9: On-Demand MNP Error</t>
  </si>
  <si>
    <t>switch_status</t>
  </si>
  <si>
    <t>再発行ステータス</t>
  </si>
  <si>
    <t>1:再発行開通待ち
2:再発行開通処理中
3:契約中
9:再発行開通エラー</t>
  </si>
  <si>
    <t>1: Waiting for reissue and activation
2: Reissue and activation in progress
3: Contract in progress
9: Reissue and activation error</t>
  </si>
  <si>
    <t>mnp_out_date</t>
  </si>
  <si>
    <t>MNP転出完了日</t>
  </si>
  <si>
    <t>next_bundle_coupon</t>
  </si>
  <si>
    <t>翌月バンドルクーポン量</t>
  </si>
  <si>
    <t>MB単位</t>
  </si>
  <si>
    <t>MB unit</t>
  </si>
  <si>
    <t>バンドルクーポン量</t>
  </si>
  <si>
    <t>open_status</t>
  </si>
  <si>
    <t>開通ステータス</t>
  </si>
  <si>
    <t>未開通SIMカードステータス
1:開通待ち
2:開通処理中
9:開通エラー</t>
  </si>
  <si>
    <t>Unactivated SIM Card Status
1: Waiting for activation
2: Activation in progress
9: Activation error</t>
  </si>
  <si>
    <t>next_max_line</t>
  </si>
  <si>
    <t>翌月以降の回線グループ種別</t>
  </si>
  <si>
    <t>open_error_code</t>
  </si>
  <si>
    <t>MNP転入エラーコード</t>
  </si>
  <si>
    <t>M010:移転元事業者様の名義と一致しませんでした
M011:予約有効期限切れです
M012:MNP予約がありません
M013:他事業者様にて解約受付中
M014:移転元事業者様の契約状態に問題があるため、MNPできません
M015:MNP予約番号に誤りがあります
M016:電話番号に誤りがあります
M017:移転元事業者に照会できませんでした
M099:その他エラー</t>
  </si>
  <si>
    <t>M010: The name does not match that of the original carrier
M011: The reservation has expired
M012: No MNP reservation exists
M013: Cancellation is being processed by another carrier
M014: MNP cannot be processed due to a contract issue with the original carrier
M015: The MNP reservation number is incorrect
M016: The phone number is incorrect
M017: Unable to inquire with the original carrier
M099: Other error</t>
  </si>
  <si>
    <t>vopt</t>
  </si>
  <si>
    <t>mopt</t>
  </si>
  <si>
    <t>Qtaro送信時刻</t>
  </si>
  <si>
    <t>send_dataと同値</t>
  </si>
  <si>
    <t>Value same as send_data</t>
  </si>
  <si>
    <t>Qtaro受信時刻</t>
  </si>
  <si>
    <t>依頼時のみ使用、send_dataと同値</t>
  </si>
  <si>
    <t>Used only when requesting, same value as send_data</t>
  </si>
  <si>
    <t>受信処理結果区分</t>
  </si>
  <si>
    <t>依頼時のみ使用、order_statusと同値</t>
  </si>
  <si>
    <t>Used only when making a request, same value as order_status</t>
  </si>
  <si>
    <t>Add</t>
  </si>
  <si>
    <t>IIJ</t>
  </si>
  <si>
    <t>contract_service_id</t>
  </si>
  <si>
    <t>音声SIM：TB管理番号（ra番号）</t>
  </si>
  <si>
    <t>Voice SIM：TB Management Number（ra No.)</t>
  </si>
  <si>
    <t>delivery_admin_1</t>
  </si>
  <si>
    <t>物流依頼先管理番号１</t>
  </si>
  <si>
    <t>service_start_date</t>
  </si>
  <si>
    <t>サービス利用開始日</t>
  </si>
  <si>
    <t>getKpoInfo.StartDate の日付</t>
  </si>
  <si>
    <t>DATE</t>
  </si>
  <si>
    <t>date</t>
  </si>
  <si>
    <t xml:space="preserve">Date of getKpoInfo.StartDate </t>
  </si>
  <si>
    <t>customer_result</t>
  </si>
  <si>
    <t>本人性確認結果</t>
  </si>
  <si>
    <t>jaccs_result</t>
  </si>
  <si>
    <t>JACCS確認結果</t>
  </si>
  <si>
    <t>mvno_id</t>
  </si>
  <si>
    <t>MVNO_ID</t>
  </si>
  <si>
    <t>100: IIJ</t>
  </si>
  <si>
    <t>'100'</t>
  </si>
  <si>
    <t>'100' 固定</t>
  </si>
  <si>
    <t>'100' fixed</t>
  </si>
  <si>
    <t>old_delivery_admin_1</t>
  </si>
  <si>
    <t>旧物流依頼先管理番号１</t>
  </si>
  <si>
    <t>migrate_date</t>
  </si>
  <si>
    <t>MVNO切替日</t>
  </si>
  <si>
    <t>true: Enabled (Deleted)
false: Disabled (Not deleted)</t>
  </si>
  <si>
    <t>Update batch ID</t>
  </si>
  <si>
    <t>オートシーケンス</t>
  </si>
  <si>
    <t>Auto Sequence</t>
  </si>
  <si>
    <t>''</t>
  </si>
  <si>
    <t>08/29 add 9:クーリングオフ</t>
  </si>
  <si>
    <t>order_type</t>
  </si>
  <si>
    <t>申込種別</t>
  </si>
  <si>
    <r>
      <rPr>
        <sz val="9"/>
        <rFont val="ＭＳ ゴシック"/>
        <charset val="128"/>
      </rPr>
      <t xml:space="preserve">1: 新規
2: SIM交換再発行
3: プラン変更
4: 音声オプション変更
5: モバイルオプション変更
6: 申出解約
7: MNP転出
</t>
    </r>
    <r>
      <rPr>
        <sz val="9"/>
        <color rgb="FFFF0000"/>
        <rFont val="ＭＳ ゴシック"/>
        <charset val="128"/>
      </rPr>
      <t>9: クーリングオフ</t>
    </r>
  </si>
  <si>
    <t>1: New
2: SIM exchange/reissue
3: Plan change
4: Voice option change
5: Mobile option change
6: Cancellation request
7: MNP Port-out</t>
  </si>
  <si>
    <t>'101'</t>
  </si>
  <si>
    <t>101固定</t>
  </si>
  <si>
    <t>101: ANA mobile</t>
  </si>
  <si>
    <t>M_SOD_SERVICE_PLAN.service_plan_id を設定する</t>
  </si>
  <si>
    <t>Set M_SOD_SERVICE_PLAN.service_plan_id</t>
  </si>
  <si>
    <t>オーダ状態</t>
  </si>
  <si>
    <t>0:レコード初期化中
1:Open
2:Close
3:Cancelling
4:Cancelled</t>
  </si>
  <si>
    <t>ix1_2
ix2</t>
  </si>
  <si>
    <t>0:Record initialization in progress
1:Open
2:Close
3:Cancelling
4:Cancelled</t>
  </si>
  <si>
    <t>cancel_code</t>
  </si>
  <si>
    <t>キャンセルコード</t>
  </si>
  <si>
    <t>キャンセル日時</t>
  </si>
  <si>
    <t>キャンセルフローに流れた日時</t>
  </si>
  <si>
    <t>The date and time when the cancellation flow was entered</t>
  </si>
  <si>
    <t>ended_date</t>
  </si>
  <si>
    <t>フロー終了日時</t>
  </si>
  <si>
    <t>フロー終了した日時</t>
  </si>
  <si>
    <t>The date and time the flow ended</t>
  </si>
  <si>
    <t>業務状態</t>
  </si>
  <si>
    <t>外部参照に係る物流状態を管理
0:レコード初期化中
1以上:各状態値</t>
  </si>
  <si>
    <t>これ何だっけ？
Lookupを確認</t>
  </si>
  <si>
    <t>Manages the logistics status of external references
0: Record initialization in progress
1 or higher: Each status value</t>
  </si>
  <si>
    <t>What was this?
Check the Lookup.</t>
  </si>
  <si>
    <t>ship_gender</t>
  </si>
  <si>
    <t>[送付先情報] 性別</t>
  </si>
  <si>
    <t>1:男性
2:女性
3:その他(法人)</t>
  </si>
  <si>
    <t>1: Male
2: Female
3: Other (Corporate)</t>
  </si>
  <si>
    <t>ship_birthday</t>
  </si>
  <si>
    <t>[送付先情報] 生年月日</t>
  </si>
  <si>
    <t>YYYY/MM/DD</t>
  </si>
  <si>
    <t>ship_family_name</t>
  </si>
  <si>
    <t>[送付先情報] 姓漢字</t>
  </si>
  <si>
    <t>ship_given_name</t>
  </si>
  <si>
    <t>[送付先情報] 名漢字</t>
  </si>
  <si>
    <t>ship_family_name_kana</t>
  </si>
  <si>
    <t>[送付先情報] 姓カナ</t>
  </si>
  <si>
    <t>ship_given_name_kana</t>
  </si>
  <si>
    <t>[送付先情報] 名カナ</t>
  </si>
  <si>
    <t>ship_zip</t>
  </si>
  <si>
    <t>※「-」(ハイフン)なし、半角数字</t>
  </si>
  <si>
    <t>※ Half-width Numeral, without "-" (hyphen)</t>
  </si>
  <si>
    <t>ship_address1</t>
  </si>
  <si>
    <t>都道府県</t>
  </si>
  <si>
    <t>Prefecture</t>
  </si>
  <si>
    <t>ship_address2</t>
  </si>
  <si>
    <t>市区町村</t>
  </si>
  <si>
    <t>City/Ward/Town/Village</t>
  </si>
  <si>
    <t>ship_address3</t>
  </si>
  <si>
    <t>町名・丁目／番地</t>
  </si>
  <si>
    <t>Town name / Chome / Address number</t>
  </si>
  <si>
    <t>ship_address4</t>
  </si>
  <si>
    <t>マンション／ビル名・部屋番号</t>
  </si>
  <si>
    <t>Apartment / Building name / Room number</t>
  </si>
  <si>
    <t>ship_tel1</t>
  </si>
  <si>
    <t>ship_tel2</t>
  </si>
  <si>
    <t>[送付先情報] 連絡先電話番号2</t>
  </si>
  <si>
    <t>未設定のままでよい</t>
  </si>
  <si>
    <t>Can be left unset</t>
  </si>
  <si>
    <t>ship_mailaddress</t>
  </si>
  <si>
    <t>preferred_delivery_date</t>
  </si>
  <si>
    <t>配送希望日</t>
  </si>
  <si>
    <t>preferred_delivery_time_zone</t>
  </si>
  <si>
    <t>配送希望時刻</t>
  </si>
  <si>
    <t>url_key</t>
  </si>
  <si>
    <t>状態通知キー</t>
  </si>
  <si>
    <t>cancel_reason</t>
  </si>
  <si>
    <t>キャンセル理由</t>
  </si>
  <si>
    <t>change_reason</t>
  </si>
  <si>
    <t>変更理由</t>
  </si>
  <si>
    <t>sales_route_id</t>
  </si>
  <si>
    <t>販売可能ルートID</t>
  </si>
  <si>
    <t>entry_shop_group_id</t>
  </si>
  <si>
    <t>申込店舗グループID</t>
  </si>
  <si>
    <t>entry_shop_id</t>
  </si>
  <si>
    <t>申込店舗ID</t>
  </si>
  <si>
    <t>receipt_shop_id</t>
  </si>
  <si>
    <t>受取店舗ID</t>
  </si>
  <si>
    <t>null</t>
  </si>
  <si>
    <t>予備コード０１</t>
  </si>
  <si>
    <t>shelf_id</t>
  </si>
  <si>
    <t>棚ID</t>
  </si>
  <si>
    <t>'0000'</t>
  </si>
  <si>
    <t>棚は使わないけど、'0000'を固定で設定する</t>
  </si>
  <si>
    <t>illegal_flg</t>
  </si>
  <si>
    <t>クレカ不正停止フラグ</t>
  </si>
  <si>
    <t>halack_status</t>
  </si>
  <si>
    <t>アクティベート状態</t>
  </si>
  <si>
    <t xml:space="preserve">開通指示用の状態管理項目
・pSIM新規(通常新規/MNP)
・kddi pSIM 同番再発行
・MNP有効期限当日の強制黒化
0:対象外
・T_SOD_SIM_ORDER_INFO.voice_plan_code が以下の値のオーダ
　50：eSIM (SMS)
　51：eSIM (音声通話)
　48：eSIM (SMS)
　49：eSIM (音声通話)
　2：SMS SIM
・新規/交換再発行以外のオーダ
　解約やオプション変更など
・docomo pSIM 同番再発行のオーダ
1:未処理(開通指示待ち/強制黒化待ち)
・pSIM新規、再発行はこれ
10:入電黒化、IIJ依頼待ち ※マイページ依頼/IVR含む
11:入電黒化、IIJ依頼済み
13:入電黒化完了
50:強制黒化(MNP有効期限当日)、IIJ依頼待ち
   強制黒化バッチによるステータス変更はこれ
51:強制黒化(MNP有効期限当日)、IIJ依頼済み
53:強制黒化完了
</t>
  </si>
  <si>
    <t xml:space="preserve">10 or 50 で Qt へ依頼する
</t>
  </si>
  <si>
    <t>Status management items for activation instructions
* pSIM new (normal new/MNP)
* KDDI pSIM same-number reissue
* Forced deactivation (blacklisting) on the MNP expiration date
0: Not applicable
* Orders where `T_SOD_SIM_ORDER_INFO.voice_plan_code` has the following values:
  　50: eSIM (SMS)
  　51: eSIM (Voice Call)
  　48: eSIM (SMS)
  　49: eSIM (Voice Call)
  　2: SMS SIM
* Orders other than new/exchange reissue (e.g., cancellation, option change, etc.)
* Orders for docomo pSIM same-number reissue
1: Unprocessed (waiting for activation instruction / waiting for forced deactivation)
* Applies to pSIM new and reissue
10: Incoming call deactivation, waiting for IIJ request** (includes My Page request / IVR)
11: Incoming call deactivation, IIJ request completed**
13: Incoming call deactivation completed**
50: Forced deactivation (on MNP expiration date), waiting for IIJ request
　 Status change by forced deactivation batch corresponds to this
51: Forced deactivation (on MNP expiration date), IIJ request completed
53: Forced deactivation completed</t>
  </si>
  <si>
    <t>Request Qt for 10 or 50</t>
  </si>
  <si>
    <t>answer_flg</t>
  </si>
  <si>
    <t>注文数チェックフラグ</t>
  </si>
  <si>
    <t>order_mode</t>
  </si>
  <si>
    <t>オーダモード</t>
  </si>
  <si>
    <t>cod_flg</t>
  </si>
  <si>
    <t>代引きフラグ</t>
  </si>
  <si>
    <t>same_user_flg</t>
  </si>
  <si>
    <t>利用者フラグ</t>
  </si>
  <si>
    <t>true: 契約者本人
false: 契約者以外利用</t>
  </si>
  <si>
    <t>true</t>
  </si>
  <si>
    <t xml:space="preserve">true: Customer
false: Used by someone other than the customer
</t>
  </si>
  <si>
    <t>olsu_date</t>
  </si>
  <si>
    <t>OLSU完了日時</t>
  </si>
  <si>
    <t>option_type</t>
  </si>
  <si>
    <t>オプション種別</t>
  </si>
  <si>
    <t>division_type</t>
  </si>
  <si>
    <t>割賦区分</t>
  </si>
  <si>
    <t>0：割賦なし
1：JACCS</t>
  </si>
  <si>
    <t>0: No installment
1: JACCS</t>
  </si>
  <si>
    <t>sim_tel_publication_method</t>
  </si>
  <si>
    <t>SIM電話番号発番方法</t>
  </si>
  <si>
    <t>1: 新規発番
2: MNP(ツーストップ)
3: MNP(ワンストップ)</t>
  </si>
  <si>
    <t>T_SOD_ORDER_INFO.order_type = 1 の時に設定する</t>
  </si>
  <si>
    <t>1: New Number Issuance
2: MNP (Two-Stop)
3: MNP (One-Stop)</t>
  </si>
  <si>
    <t>Set when T_SOD_ORDER_INFO.order_type = 1</t>
  </si>
  <si>
    <t>mnp_tel_no</t>
  </si>
  <si>
    <t>device_plan_code</t>
  </si>
  <si>
    <t>機器プランコード</t>
  </si>
  <si>
    <t>M_SOD_DEVICE.device_id を設定</t>
  </si>
  <si>
    <t>order_device から移動</t>
  </si>
  <si>
    <t>Set M_SOD_DEVICE.device_id</t>
  </si>
  <si>
    <t>Move from order_device</t>
  </si>
  <si>
    <t>M_SOD_DEVICE.device_type を設定</t>
  </si>
  <si>
    <t>1: SIMカード
→配送あり
2: eSIM
→配送なし</t>
  </si>
  <si>
    <t>おばら追加</t>
  </si>
  <si>
    <t>device_serial</t>
  </si>
  <si>
    <t>機器シリアル番号</t>
  </si>
  <si>
    <t>SIMの場合
{
  "device_serial": [
    {
      "iccid": "IIJから取得したICCID",
      "imsi": "IIJから取得したIMSI"
    }
  ]
}</t>
  </si>
  <si>
    <t>ICCID,IMSI
新規
交換(交換後)</t>
  </si>
  <si>
    <t>For SIM
{
  "device_serial": [
    {
      "iccid": "ICCID obtained from IIJ",
      "imsi": "IMSI obtained from IIJ"
    }
  ]
}</t>
  </si>
  <si>
    <t>ICCID, IMSI
New
Exchange (After Exchange)</t>
  </si>
  <si>
    <t>sim_tel</t>
  </si>
  <si>
    <t>SIM電話番号</t>
  </si>
  <si>
    <t>IIJからの戻りの値
0200: 14桁
0A0: 11桁</t>
  </si>
  <si>
    <t>Return values from IIJ
0200: 14 digits
0A0: 11 digits</t>
  </si>
  <si>
    <t>amount</t>
  </si>
  <si>
    <t>数量</t>
  </si>
  <si>
    <t>SIM、端末については、1固定
アクセサリのみ、1～400の範囲内</t>
  </si>
  <si>
    <t>For SIM cards and devices, the number is fixed at 1.
For accessories only, the number ranges from 1 to 400.</t>
  </si>
  <si>
    <t>dup_flg</t>
  </si>
  <si>
    <t>重複申込許可フラグ</t>
  </si>
  <si>
    <t>許可する前提</t>
  </si>
  <si>
    <t>operation_type</t>
  </si>
  <si>
    <t>exchange_reason</t>
  </si>
  <si>
    <t>交換理由</t>
  </si>
  <si>
    <t>before_sim_device</t>
  </si>
  <si>
    <t>交換前SIM機器種別ID</t>
  </si>
  <si>
    <t>M_SOD_DEVICE.device_id を設定(交換前)</t>
  </si>
  <si>
    <t>Set M_SOD_DEVICE.device_id (Before exchange)</t>
  </si>
  <si>
    <t>before_sim_tel</t>
  </si>
  <si>
    <t>交換前SIM電話番号</t>
  </si>
  <si>
    <t>before_sim_serial</t>
  </si>
  <si>
    <t>回収SIM製造番号</t>
  </si>
  <si>
    <t>recall_state</t>
  </si>
  <si>
    <t>機器回収状況</t>
  </si>
  <si>
    <t>identification_flg</t>
  </si>
  <si>
    <t>本人性確認要否フラグ</t>
  </si>
  <si>
    <t>0:必要（音声SIM/データ+SMS SIM）
1:不要（データ通信専用SIM）</t>
  </si>
  <si>
    <t>0: Required (Voice SIM/Data + SMS SIM)
1: Not required (Data-only SIM)</t>
  </si>
  <si>
    <t>credit_identification_flg</t>
  </si>
  <si>
    <t>クレカ名義確認要否フラグ</t>
  </si>
  <si>
    <t>voice_plan_code</t>
  </si>
  <si>
    <t>音声プラン</t>
  </si>
  <si>
    <r>
      <rPr>
        <sz val="9"/>
        <rFont val="ＭＳ ゴシック"/>
        <charset val="128"/>
      </rPr>
      <t xml:space="preserve">M_SOD_DEVICE.refs を設定する
■タイプD (docomo)
</t>
    </r>
    <r>
      <rPr>
        <sz val="9"/>
        <color rgb="FFFF0000"/>
        <rFont val="ＭＳ ゴシック"/>
        <charset val="128"/>
      </rPr>
      <t xml:space="preserve">15：マルチSIMカード (データ)
16：マルチSIMカード (SMS)
17：マルチSIMカード (音声通話)
</t>
    </r>
    <r>
      <rPr>
        <sz val="9"/>
        <rFont val="ＭＳ ゴシック"/>
        <charset val="128"/>
      </rPr>
      <t xml:space="preserve">50：eSIM (SMS)
51：eSIM (音声通話)
■タイプK (kddi)
</t>
    </r>
    <r>
      <rPr>
        <sz val="9"/>
        <color rgb="FFFF0000"/>
        <rFont val="ＭＳ ゴシック"/>
        <charset val="128"/>
      </rPr>
      <t xml:space="preserve">13：マルチSIMカード (SMS)
14：マルチSIMカード (音声通話)
</t>
    </r>
    <r>
      <rPr>
        <sz val="9"/>
        <rFont val="ＭＳ ゴシック"/>
        <charset val="128"/>
      </rPr>
      <t xml:space="preserve">48：eSIM (SMS)
49：eSIM (音声通話)
■タイプI（iij）
</t>
    </r>
    <r>
      <rPr>
        <sz val="9"/>
        <color rgb="FFFF0000"/>
        <rFont val="ＭＳ ゴシック"/>
        <charset val="128"/>
      </rPr>
      <t>44</t>
    </r>
    <r>
      <rPr>
        <sz val="9"/>
        <rFont val="ＭＳ ゴシック"/>
        <charset val="128"/>
      </rPr>
      <t>：SMS SIM(eSIM)</t>
    </r>
  </si>
  <si>
    <t>発注SIMの種別値を持つ
・15-17: docomo pSIM
・50-51: docomo eSIM
・13-14: kddi pSIM
・48-49: kddi eSIM
→ orderLine
・2: iij eSIM
→ ESIMLineOrder
iijだけ注文するAPIが違うので注意</t>
  </si>
  <si>
    <t>Set M_SOD_DEVICE.refs
■Type D (Docomo)
15: Multi-SIM Card (Data)
16: Multi-SIM Card (SMS)
17: Multi-SIM Card (Voice call)
50: eSIM (SMS)
51: eSIM (Voice call)
■Type K (KDDI)
13: Multi-SIM Card (SMS)
14: Multi-SIM Card (Voice call)
48: eSIM (SMS)
49: eSIM (Voice call)
■Type I (IIJ)
2: SMS SIM</t>
  </si>
  <si>
    <t>Holds the type value of the ordered SIM
15–17: docomo pSIM
50–51: docomo eSIM
13–14: kddi pSIM
48–49: kddi eSIM
→ orderLine
2: iij eSIM
→ ESIMLineOrder
Note: Only for iij, the API used for ordering is different.</t>
  </si>
  <si>
    <t>data_plan</t>
  </si>
  <si>
    <t>M_SOD_SERVICE_PLAN.option01 を設定する</t>
  </si>
  <si>
    <t>サービスプランIDはT_SOD_ORDER_INFO で持っているので、こちらはバンドルクーポンの値を持つ</t>
  </si>
  <si>
    <t>Set M_SOD_SERVICE_PLAN.option01</t>
  </si>
  <si>
    <t>Since the service plan ID is stored in T\_SOD\_ORDER\_INFO, this will hold the value of the bundled coupon.</t>
  </si>
  <si>
    <t>音声オプション</t>
  </si>
  <si>
    <t>変更するオプションのみ指定する
変更なしの場合、null
■OptionName: 音声オプション名
AnswerPhone: 留守番電話
CallWaiting: 割り込み電話着信
CallFlatRate: 通話定額
SpamPhoneBlocker: 迷惑電話撃退
■Request
1: 申込
0: 解約
■通話定額(CallFlatRate)のType
1：5分
2：10分
3：10分（法人向け）
5：かけ放題
分数を変更する場合、Request に 1 を指定して、Type に変更後の分数を指定してください</t>
  </si>
  <si>
    <t>音声SIMのみ
シンプルに再考</t>
  </si>
  <si>
    <t>Specify only the options you want to change. If no changes are made, leave null.
■OptionName: 音声オプション名
AnswerPhone: 留守番電話
CallWaiting: 割り込み電話着信
CallFlatRate: 通話定額
SpamPhoneBlocker: 迷惑電話撃退
■Request
1: 申込
0: 解約
■通話定額(CallFlatRate)のType
1：5分
2：10分
3：10分（法人向け）
5：かけ放題
When changing the number of minutes, specify 1 in the Request and set the changed number of minutes in the Type.</t>
  </si>
  <si>
    <t>Voice SIM only
Simple rethink</t>
  </si>
  <si>
    <t>Obara - added</t>
  </si>
  <si>
    <t>モバイルオプション</t>
  </si>
  <si>
    <t xml:space="preserve">変更するオプションのみ指定する
変更なしの場合、null
■OptionCode：モバイルオプション商品コード
1: ウイルスバスター モバイル 月額版
3: Smart・Checker (MyPermissions)
5: i-フィルター for マルチデバイス
6: タブホ
7: スマート留守電
8: つながる端末保証
9: マカフィーモバイルセキュリティ Android版
■Request:
1: 申込
0: 解約
■LisenceList
Request=「0:解約」の時、このオプションの全ライセンスを設定する
マカフィーを3つ契約しているなら、3つ分のライセンスを指定する必要がある
</t>
  </si>
  <si>
    <t xml:space="preserve">Specify only the options you want to change. If no changes are made, leave null.
■OptionCode: Mobile option product code
1: ウイルスバスター モバイル 月額版
3: Smart・Checker (MyPermissions)
5: i-フィルター for マルチデバイス
6: タブホ
7: スマート留守電
8: つながる端末保証
9: マカフィーモバイルセキュリティ Android版
■Request:
1: 申込
0: 解約
■LisenceList
When Request = "0: Cancellation", set all licenses for this option.
For example, if three McAfee subscriptions are contracted, you must specify three licenses.
</t>
  </si>
  <si>
    <t>08/29 modified M</t>
  </si>
  <si>
    <t>d_world_cw</t>
  </si>
  <si>
    <t>WorldCall/WorldWing設定</t>
  </si>
  <si>
    <t xml:space="preserve">変更するオプションのみ指定する
変更なしの場合と、docomo以外のSIMの場合はnull
■Name
WorldCall: 国際通話
WorldWing: 国際ローミング
■Request
1: ON
0: OFF
■Limit
WorldCall: 20000(デフォルト値)
WorldWing: 50000(デフォルト値)
</t>
  </si>
  <si>
    <t>ドコモのみ
voice_plan_code が以下の SIM
15：マルチSIMカード (データ)
16：マルチSIMカード (SMS)
17：マルチSIMカード (音声通話)
50：eSIM (SMS)
51：eSIM (音声通話)</t>
  </si>
  <si>
    <t xml:space="preserve">Specify only the option to be changed.
If there is no change, or if the SIM is other than docomo, set to null.
■Name
WorldCall: 国際通話
WorldWing: 国際ローミング
■Request
1: ON
0: OFF
■Limit
WorldCall: 20000(デフォルト値)
WorldWing: 50000(デフォルト値)
</t>
  </si>
  <si>
    <t>Docomo only</t>
  </si>
  <si>
    <t>comm_5g</t>
  </si>
  <si>
    <t>5G通信設定</t>
  </si>
  <si>
    <t xml:space="preserve">変更がある場合に設定する
変更なしの場合、null
1: 申込依頼(ON依頼)
2: 解約依頼(OFF依頼)
</t>
  </si>
  <si>
    <t xml:space="preserve">Set when there is a change.
If there is no change, set to null.
1: Application request (ON request)
2: Cancellation request (OFF request)
</t>
  </si>
  <si>
    <t>dns_filtering</t>
  </si>
  <si>
    <t>DNSフィルタリング設定</t>
  </si>
  <si>
    <t>route_code</t>
  </si>
  <si>
    <t>経路コード</t>
  </si>
  <si>
    <t>sim_real_id</t>
  </si>
  <si>
    <t>実SIM種別</t>
  </si>
  <si>
    <t>sim_device_id</t>
  </si>
  <si>
    <t>申込SIM種別</t>
  </si>
  <si>
    <t>mobile_device_id</t>
  </si>
  <si>
    <t>申込機器種別</t>
  </si>
  <si>
    <t>aladin_date</t>
  </si>
  <si>
    <t>ALADIN処理結果日時</t>
  </si>
  <si>
    <t>mvno_date</t>
  </si>
  <si>
    <t>NODE開通日時</t>
  </si>
  <si>
    <t>開通処理結果を取り込んだ際の日時
または、IIJ連携オーダでの開通処理時の回線アクティベート日を設定</t>
  </si>
  <si>
    <t>Date and time when the activation process result was imported,
or the line activation date at the time of activation processing in the IIJ-linked order.</t>
  </si>
  <si>
    <t>delivery_comp</t>
  </si>
  <si>
    <t>配送業者種別</t>
  </si>
  <si>
    <t>1:佐川
2:郵便
3:ヤマト
9:その他</t>
  </si>
  <si>
    <t>3 固定</t>
  </si>
  <si>
    <t>delivery_infoから移動</t>
  </si>
  <si>
    <t>1: Sagawa
2: Postal
3: Yamato
9: Other</t>
  </si>
  <si>
    <t>3 fixed</t>
  </si>
  <si>
    <t>Moved from delivery_info</t>
  </si>
  <si>
    <t>estimated_delivery_date</t>
  </si>
  <si>
    <t>SIM着荷予定日</t>
  </si>
  <si>
    <t>SIMの着荷予定日をタイプDでMNPの時のみ設定する
getKpoInfo.StartDate
タイプD回線（kpo）でOTAやオンデマンドMNPの場合は、開通前はSIMの到着予定日、開通後は開通日が返却</t>
  </si>
  <si>
    <t>Set the scheduled SIM arrival date only for MNP with Type D
`getKpoInfo.StartDate`
For Type D line (kpo) with OTA or on-demand MNP, the scheduled SIM arrival date is returned before activation, and the activation date is returned after activation.</t>
  </si>
  <si>
    <t>shipping_date</t>
  </si>
  <si>
    <t>出荷日</t>
  </si>
  <si>
    <t>getKpoInfo.StartDate</t>
  </si>
  <si>
    <t>track_no</t>
  </si>
  <si>
    <t>送り状No</t>
  </si>
  <si>
    <t>getKpoInfo.DeliveryCode</t>
  </si>
  <si>
    <t>arrival_date</t>
  </si>
  <si>
    <t>着荷日時</t>
  </si>
  <si>
    <t>未使用
着荷は取らないので使うことはないが、一応移しておく</t>
  </si>
  <si>
    <t>Unused
I won't be receiving any new shipments so I won't be using it, but I'll move it anyway.</t>
  </si>
  <si>
    <t>cafe_delivery_date</t>
  </si>
  <si>
    <t>引渡完了日時</t>
  </si>
  <si>
    <t>temp_tel</t>
  </si>
  <si>
    <t>仮電話番号</t>
  </si>
  <si>
    <t>usim_no</t>
  </si>
  <si>
    <t>仮USIM番号</t>
  </si>
  <si>
    <t>before_temp_tel</t>
  </si>
  <si>
    <t>回収仮電話番号</t>
  </si>
  <si>
    <t>before_usim_no</t>
  </si>
  <si>
    <t>回収仮USIM番号</t>
  </si>
  <si>
    <t>receipt_base</t>
  </si>
  <si>
    <t>受取可能時刻の算出元時刻</t>
  </si>
  <si>
    <t>receipt_type</t>
  </si>
  <si>
    <t>受取可能時刻計算種別</t>
  </si>
  <si>
    <t>receipt_time</t>
  </si>
  <si>
    <t>受取可能時刻</t>
  </si>
  <si>
    <t>receipt_limit</t>
  </si>
  <si>
    <t>受取可能期限</t>
  </si>
  <si>
    <t>auth_no</t>
  </si>
  <si>
    <t>認証番号</t>
  </si>
  <si>
    <t>mvno_order_no</t>
  </si>
  <si>
    <t>MVNOオーダ番号</t>
  </si>
  <si>
    <t>halack_wish_date</t>
  </si>
  <si>
    <t>黒化希望日</t>
  </si>
  <si>
    <t>halack_notify_time</t>
  </si>
  <si>
    <t>SMS送信日時</t>
  </si>
  <si>
    <t>halack_load_by</t>
  </si>
  <si>
    <t>黒化入電オペレータID</t>
  </si>
  <si>
    <t>halack_load_time</t>
  </si>
  <si>
    <t>黒化入電日時</t>
  </si>
  <si>
    <t>入電を受け付けた日時、強制黒化指示日時
※マイページまたはIVRより開通指示認を受けた日時
※MNP有効期限による強制黒化指示日時</t>
  </si>
  <si>
    <t>Date and time the incoming call was received,、and the date and time of the forced deactivation instruction
※ Date and time the activation instruction was received via My Page or IVR
※ Date and time of forced deactivation instruction due to MNP expiration</t>
  </si>
  <si>
    <t>halack_proc_by</t>
  </si>
  <si>
    <t>黒化操作オペレータID</t>
  </si>
  <si>
    <t>halack_proc_time</t>
  </si>
  <si>
    <t>黒化操作日時</t>
  </si>
  <si>
    <t>黒化処理を行った日時(強制黒化含む)</t>
  </si>
  <si>
    <t>Date and time when blackening was performed (including forced blackening)</t>
  </si>
  <si>
    <t>halack_done_by</t>
  </si>
  <si>
    <t>校正完了オペレータID</t>
  </si>
  <si>
    <t>halack_done_time</t>
  </si>
  <si>
    <t>校正完了日時</t>
  </si>
  <si>
    <t>main_tel_no</t>
  </si>
  <si>
    <t>代表回線</t>
  </si>
  <si>
    <t>usage_sim_type</t>
  </si>
  <si>
    <t>新規発番利用SIM種別</t>
  </si>
  <si>
    <t>before_kpu</t>
  </si>
  <si>
    <t>交換前回線サービスコード(KPO/KPU/KPF)</t>
  </si>
  <si>
    <t>SIM交換元オーダのkpo/kpu/kpf</t>
  </si>
  <si>
    <t>kpo/kpu/kpf of SIM exchange original order</t>
  </si>
  <si>
    <t>before_kpg</t>
  </si>
  <si>
    <t>交換前回線グループサービスコード(KPG)</t>
  </si>
  <si>
    <t>SIM交換元オーダのkpg</t>
  </si>
  <si>
    <t>kpg of SIM exchange original order</t>
  </si>
  <si>
    <t>kpu</t>
  </si>
  <si>
    <t>回線サービスコード(KPO/KPU/KPF)</t>
  </si>
  <si>
    <t>kpo/kpu/kpf+数字8桁</t>
  </si>
  <si>
    <t>kpo/kpu/kpf+8 digit number</t>
  </si>
  <si>
    <t>kpg</t>
  </si>
  <si>
    <t>回線グループサービスコード(KPG)</t>
  </si>
  <si>
    <t>kpg+数字8桁</t>
  </si>
  <si>
    <t>kpg+8 digit number</t>
  </si>
  <si>
    <t>pom_user</t>
  </si>
  <si>
    <t>POMユーザ</t>
  </si>
  <si>
    <t>compensation_flg</t>
  </si>
  <si>
    <t>保証交換フラグ</t>
  </si>
  <si>
    <t>cs_class</t>
  </si>
  <si>
    <t>契約種別</t>
  </si>
  <si>
    <t>getMNPOSで使用する
→MNP予約番号と有効期限を取得する
　取得できたら#6と#8を更新する</t>
  </si>
  <si>
    <t>Use with getMNPOS
→Get your MNP reservation number and expiration date
Once you have it, update #6 and #8</t>
  </si>
  <si>
    <t>タイプDのみ</t>
  </si>
  <si>
    <t>Only Type D?</t>
  </si>
  <si>
    <t>発送機器情報</t>
  </si>
  <si>
    <t>order_device</t>
  </si>
  <si>
    <t>保有機器ID</t>
  </si>
  <si>
    <t>{
  "device_serial": [
    {
      "iccid": "IIJから取得したICCID",
      "imsi": "IIJから取得したIMSI"
    }
  ]
}</t>
  </si>
  <si>
    <t>ICCID,IMSI
新規
交換</t>
  </si>
  <si>
    <t>package_id</t>
  </si>
  <si>
    <t>パッケージID</t>
  </si>
  <si>
    <t>現時点ではDIのみを想定</t>
  </si>
  <si>
    <t>ステータス</t>
  </si>
  <si>
    <t>0:未引当(引当可能数・実在庫ともに未着手)
1:引当済(実在庫を引き当てた状態)
2:引戻済(実在庫を引き戻した状態)
3:破棄(実在庫を破棄した状態)
4:内引当済(引当可能数を引き当てた状態)
5:内引戻済(引当可能数を引き戻した状態)
6:内破棄(引当可能数を破棄した状態)
10:引渡済み(カフェ専用)</t>
  </si>
  <si>
    <t>物流依頼情報</t>
  </si>
  <si>
    <t>delivery_info</t>
  </si>
  <si>
    <t>delivery_id</t>
  </si>
  <si>
    <t>物流依頼ID</t>
  </si>
  <si>
    <t>物流申込情報の管理番号</t>
  </si>
  <si>
    <t>delivery_type</t>
  </si>
  <si>
    <t>物流種別</t>
  </si>
  <si>
    <t>1:新規　※MILKv2も利用
2:交換再発行（NTT-PC用）
3:キャンセル
4:買い増し
5:交換再発行（トレミール用）
6:交換SIM種別変更（トレミール用：通話への変更）★未使用
7:交換SIM種別変更（トレミール用：データへの変更）★未使用
8:OTA-SIM新規開通</t>
  </si>
  <si>
    <t>delivery_status</t>
  </si>
  <si>
    <t>物流ステータス</t>
  </si>
  <si>
    <t>0：未依頼
1：依頼済み
2：出荷済み
3：着荷済み（OTAでは、SIM開通済み）
4：キャンセル
5：キャンセル受付済み
6：エラー</t>
  </si>
  <si>
    <t>delivery_admin_2</t>
  </si>
  <si>
    <t>物流依頼先管理番号２</t>
  </si>
  <si>
    <t>request_file</t>
  </si>
  <si>
    <t>依頼ファイル名</t>
  </si>
  <si>
    <t>request_date</t>
  </si>
  <si>
    <t>依頼データ作成日</t>
  </si>
  <si>
    <t>SIM/機器配送予定日</t>
  </si>
  <si>
    <t>新規利用進捗ファイルのSIM/機器配送予定日を格納</t>
  </si>
  <si>
    <t>新規利用進捗ファイルにて、発送済み(V0200-40)となった場合のCSVファイル名にある日付を格納</t>
  </si>
  <si>
    <t>delivery_store_name</t>
  </si>
  <si>
    <t>配送店名</t>
  </si>
  <si>
    <t>配達情報問い合わせ時、配送店名を格納</t>
  </si>
  <si>
    <t>delivery_state</t>
  </si>
  <si>
    <t>配送状況</t>
  </si>
  <si>
    <t>invalid_code</t>
  </si>
  <si>
    <t>不備コード</t>
  </si>
  <si>
    <t>error_code</t>
  </si>
  <si>
    <t>エラーコード</t>
  </si>
  <si>
    <t>delivery_complete_flg</t>
  </si>
  <si>
    <t>配送状況Web確認フラグ</t>
  </si>
  <si>
    <t>manual_cancel_date</t>
  </si>
  <si>
    <t>手動キャンセル依頼日</t>
  </si>
  <si>
    <t>cancel_result</t>
  </si>
  <si>
    <t>キャンセル結果</t>
  </si>
  <si>
    <t>set_code</t>
  </si>
  <si>
    <t>セットコード</t>
  </si>
  <si>
    <t>sagawa_rec_id</t>
  </si>
  <si>
    <t>(佐川配送状況)レコードID</t>
  </si>
  <si>
    <t>sagawa_state</t>
  </si>
  <si>
    <t>(佐川配送状況)集配状態コード</t>
  </si>
  <si>
    <t>return_track_no</t>
  </si>
  <si>
    <t>返品時送り状No.</t>
  </si>
  <si>
    <t>ID</t>
  </si>
  <si>
    <t>pk
ux0_2</t>
  </si>
  <si>
    <t>T_SOD_ORDER_INFO.order_id</t>
  </si>
  <si>
    <t>mail_address</t>
  </si>
  <si>
    <t>送信先メールアドレス</t>
  </si>
  <si>
    <t>type</t>
  </si>
  <si>
    <t>メール種別</t>
  </si>
  <si>
    <t>SendGridのテンプレートID的な情報を設定</t>
  </si>
  <si>
    <t>Set SendGrid template ID information</t>
  </si>
  <si>
    <t>0:作成中
1:未処理
2:処理中
3:処理済
9:エラー
（基本 1 と 3 のみ使用）
status, id でインデックス</t>
  </si>
  <si>
    <t>ix2
ux0_1</t>
  </si>
  <si>
    <t>0: Creating
1: Unprocessed
2: Processing
3: Processed
9: Error
(Only basic 1 and 3 are used)
Index by status and id</t>
  </si>
  <si>
    <t>send_date</t>
  </si>
  <si>
    <t>送信日時</t>
  </si>
  <si>
    <t>replace_value</t>
  </si>
  <si>
    <t>置換内容</t>
  </si>
  <si>
    <t>メールテンプレートに対する置換文字列
をJSONで指定する
「置換文字列:置換文字」の形式
例)
{
  "replace_value": [
    {
      "CUSNAME": "空野 太郎",
      "PASSCODE": "123456"
    }
  ]
}</t>
  </si>
  <si>
    <t>MEDIUMTEXT</t>
  </si>
  <si>
    <t>Specify the replacement strings for the email template in JSON, in the format "replacement string: replacement text".
ex)
{
  "replace_value": [
    {
      "CUSNAME": "空野 太郎",
      "PASSCODE": "123456"
    }
  ]
}</t>
  </si>
  <si>
    <t>I wonder if SES will work?</t>
  </si>
  <si>
    <t>at1</t>
  </si>
  <si>
    <t>添付ファイル１名</t>
  </si>
  <si>
    <t>nullか空文字列は添付無し扱い
※長さに注意</t>
  </si>
  <si>
    <t>at1_data</t>
  </si>
  <si>
    <t>添付ファイル１データ</t>
  </si>
  <si>
    <t>※mysql cluster なので、大データを長期保存しない事</t>
  </si>
  <si>
    <t>MEDIUMBLOB</t>
  </si>
  <si>
    <t>text</t>
  </si>
  <si>
    <t>at2</t>
  </si>
  <si>
    <t>添付ファイル２名</t>
  </si>
  <si>
    <t>at2_data</t>
  </si>
  <si>
    <t>添付ファイル２データ</t>
  </si>
  <si>
    <t>at3</t>
  </si>
  <si>
    <t>添付ファイル３名</t>
  </si>
  <si>
    <t>at3_data</t>
  </si>
  <si>
    <t>添付ファイル３データ</t>
  </si>
  <si>
    <t>TINYTEXT</t>
  </si>
  <si>
    <t>iij_order</t>
  </si>
  <si>
    <t>trn_id_create</t>
  </si>
  <si>
    <t>QトランザクションID
(SIM発注依頼時)</t>
  </si>
  <si>
    <t>orderLine (docomo/kddi)</t>
  </si>
  <si>
    <t>getLineList
getESIMStatus</t>
  </si>
  <si>
    <t>trn_id_open</t>
  </si>
  <si>
    <t>QトランザクションID
(SIM開通依頼時)</t>
  </si>
  <si>
    <t>bindFirstLine(新規申込)
bindLine(データSIM再発行)
switchLine(KDDI音声SIM再発行)</t>
  </si>
  <si>
    <t>bindFirstLine (New Application)
bindLine (Data SIM Reissue)
switchLine (KDDI Voice SIM Reissue)</t>
  </si>
  <si>
    <t>trn_id_vopt</t>
  </si>
  <si>
    <t>QトランザクションID
(音声オプション申込/解約依頼時)</t>
  </si>
  <si>
    <t>setVoiceOption
cancelVoiceOption</t>
  </si>
  <si>
    <t>trn_id_mopt</t>
  </si>
  <si>
    <t>QトランザクションID
(モバイルオプション申込/解約依頼時)</t>
  </si>
  <si>
    <t>addMobileOption
cancelMobileOption</t>
  </si>
  <si>
    <t>trn_id_cancel</t>
  </si>
  <si>
    <t>QトランザクションID
(申出解約/元回線解約依頼時)</t>
  </si>
  <si>
    <t>cancelLine</t>
  </si>
  <si>
    <t>trn_id_mnp_1stop</t>
  </si>
  <si>
    <t>QトランザクションID
(ワンストップMNP予約番号取得依頼時)</t>
  </si>
  <si>
    <t>getMNPOS</t>
  </si>
  <si>
    <t>追加
MNP転入の時</t>
  </si>
  <si>
    <t>add
When MNP Port-in</t>
  </si>
  <si>
    <t>trn_id_mnp_2stop</t>
  </si>
  <si>
    <t>QトランザクションID
(ツーストップMNP予約番号取得依頼時)</t>
  </si>
  <si>
    <t>requestMNPNumber</t>
  </si>
  <si>
    <t>追加
MNP転出の時</t>
  </si>
  <si>
    <t>add
When MNP Port-out</t>
  </si>
  <si>
    <t>stime_create</t>
  </si>
  <si>
    <t>SIM作成依頼日時</t>
  </si>
  <si>
    <t>stime_open</t>
  </si>
  <si>
    <t>SIM開通依頼日時</t>
  </si>
  <si>
    <t>SIM交換時は、SIM交換依頼日時</t>
  </si>
  <si>
    <t>When exchanging a SIM card, the date and time of the SIM card exchange request</t>
  </si>
  <si>
    <t>stime_vopt</t>
  </si>
  <si>
    <t>音声オプション申込依頼日時</t>
  </si>
  <si>
    <t>rtime_vopt</t>
  </si>
  <si>
    <t>音声オプション申込完了日時</t>
  </si>
  <si>
    <t>stime_mopt</t>
  </si>
  <si>
    <t>モバイルオプション申込依頼日時</t>
  </si>
  <si>
    <t>rtime_mopt</t>
  </si>
  <si>
    <t>モバイルオプション申込完了日時</t>
  </si>
  <si>
    <t>stime_cancel</t>
  </si>
  <si>
    <t>元回線解約依頼日時</t>
  </si>
  <si>
    <t>stime_mnp_1stop</t>
  </si>
  <si>
    <t>OS MNP予約番号取得依頼日時</t>
  </si>
  <si>
    <t>rtime_mnp_1stop</t>
  </si>
  <si>
    <t>OS MNP予約番号取得完了日時</t>
  </si>
  <si>
    <t>stime_mnp_2stop</t>
  </si>
  <si>
    <t>TS MNP予約番号取得依頼日時</t>
  </si>
  <si>
    <t>rtime_mnp_2stop</t>
  </si>
  <si>
    <t>TS MNP予約番号取得完了日時</t>
  </si>
  <si>
    <t>Set the screen ID and batch ID operated during INSERT/UPDATE</t>
  </si>
  <si>
    <t>SIM発注 orderLine(kpo/kpuを指定する</t>
  </si>
  <si>
    <t>SIM order: orderLine (specify kpo/kpu)</t>
  </si>
  <si>
    <t>bindFirstLine(色々)、switchLine(kddi 音声)</t>
  </si>
  <si>
    <t>bindFirstLine (various), switchLine (KDDI voice)</t>
  </si>
  <si>
    <t>新規SIM作成</t>
  </si>
  <si>
    <t>Create a new SIM</t>
  </si>
  <si>
    <t>bindLine</t>
  </si>
  <si>
    <t>OLYYYYMMDD00001</t>
  </si>
  <si>
    <t>OLYYYYMMDD99999</t>
  </si>
  <si>
    <t>qtaro_ctrl</t>
  </si>
  <si>
    <t>受付ID</t>
  </si>
  <si>
    <t>transaction_id</t>
  </si>
  <si>
    <t>トランザクションID</t>
  </si>
  <si>
    <t>OL+YYYYMMDD+NNNNN (13文字ジャスト)</t>
  </si>
  <si>
    <t>OL+YYYYMMDD+NNNNN (Just 13 characters)</t>
  </si>
  <si>
    <t>transaction_type</t>
  </si>
  <si>
    <t>申込区分</t>
  </si>
  <si>
    <r>
      <rPr>
        <sz val="9"/>
        <color rgb="FFFF0000"/>
        <rFont val="ＭＳ ゴシック"/>
        <charset val="128"/>
      </rPr>
      <t xml:space="preserve">II001:SIM発注(orderLine)
II101:新規発番(bindFirstLine)
II102:MNP(bindFirstLine) 
II201:MNP予約(ツーストップ継続利用)(requestMNPNumber)
</t>
    </r>
    <r>
      <rPr>
        <sz val="9"/>
        <color rgb="FF0000FF"/>
        <rFont val="ＭＳ ゴシック"/>
        <charset val="128"/>
      </rPr>
      <t>II202:MNP転入(ワンストップ)(getMNPOS)</t>
    </r>
    <r>
      <rPr>
        <sz val="9"/>
        <color rgb="FFFF0000"/>
        <rFont val="ＭＳ ゴシック"/>
        <charset val="128"/>
      </rPr>
      <t xml:space="preserve">
II300:SIM交換(音声SIM)(同番交換)
(KDDIのみ: switchLine)
II301:SIM交換(SMS/データSIM)(異番交換)(bindLine)
II310:</t>
    </r>
    <r>
      <rPr>
        <sz val="9"/>
        <color rgb="FF0000FF"/>
        <rFont val="ＭＳ ゴシック"/>
        <charset val="128"/>
      </rPr>
      <t>音声</t>
    </r>
    <r>
      <rPr>
        <sz val="9"/>
        <color rgb="FFFF0000"/>
        <rFont val="ＭＳ ゴシック"/>
        <charset val="128"/>
      </rPr>
      <t xml:space="preserve">オプション変更(setVoiceOption/cancelVoiceOption)
II311:モバイルオプション変更(addMobileOption/cancelMobileOption)
II312:5G通信変更(unset5GStatus/unset5GStatus)
II313:DNSフィルタリング変更(setDnsFiltering)
II314:WorldCall/WorldWing変更(docomoのみ)(setWorldCall)
II320:プラン変更(changeBundle)
II321:データ容量追加(addCoupon)
II400:申出解約(cancelLine)
II401:利用中断・再開(setLinePause/unsetLinePause)
II500:回線情報取得(KPU)
II501:回線グループ情報取得(KPG)
</t>
    </r>
  </si>
  <si>
    <t>キューステータス</t>
  </si>
  <si>
    <t xml:space="preserve">101:依頼データ受付済み
401:IIJ連携データ送信待ち
402:IIJ連携データ受信待ち
901:受信データ解析待ち
902:受信データ返却待ち
903:受信データ返却済み
999:エラー
</t>
  </si>
  <si>
    <t>101: Requested data accepted
401: Waiting to send IIJ-linked data
402: Waiting to receive IIJ-linked data
901: Waiting to analyze received data
902: Waiting to return received data
903: Received data returned
999: Error</t>
  </si>
  <si>
    <t>08/29 delete docomo/sonet, default 3</t>
  </si>
  <si>
    <t>send_kind</t>
  </si>
  <si>
    <t>送信先種別</t>
  </si>
  <si>
    <r>
      <rPr>
        <strike/>
        <sz val="9"/>
        <color rgb="FFFF0000"/>
        <rFont val="ＭＳ ゴシック"/>
        <charset val="128"/>
      </rPr>
      <t xml:space="preserve">docomo:1
sonet :2
</t>
    </r>
    <r>
      <rPr>
        <sz val="9"/>
        <rFont val="ＭＳ ゴシック"/>
        <charset val="128"/>
      </rPr>
      <t>iij   :3</t>
    </r>
  </si>
  <si>
    <t>docomo:1
sonet :2
iij   :3</t>
  </si>
  <si>
    <t>send_prior</t>
  </si>
  <si>
    <t>送信優先度</t>
  </si>
  <si>
    <t>送信する優先度を 000 ～ 500 で指定する。優先度の内容については別紙参照。</t>
  </si>
  <si>
    <t>別紙：【QTaro】インタフェース仕様書.xlsx</t>
  </si>
  <si>
    <t>Specify the sending priority from 000 to 500. For details on priority, see the attached document.</t>
  </si>
  <si>
    <t>Attachment：【QTaro】インタフェース仕様書.xlsx</t>
  </si>
  <si>
    <t>ra_no</t>
  </si>
  <si>
    <t>TB管理番号
ra+数字(13文字ジャスト)</t>
  </si>
  <si>
    <t>TB management number
ra + number (Just 13 characters)</t>
  </si>
  <si>
    <t>Oliverオーダ番号</t>
  </si>
  <si>
    <t>Oliverのオーダ番号
本オーダ番号を元にOliverオーダ詳細画面のURLを作成する</t>
  </si>
  <si>
    <t>Oliver's order number
Create a URL for Oliver order detail screen based on this order number.</t>
  </si>
  <si>
    <t>08/29 add 2:DB, default 2</t>
  </si>
  <si>
    <t>transfer_type</t>
  </si>
  <si>
    <t>授受方法</t>
  </si>
  <si>
    <r>
      <rPr>
        <sz val="9"/>
        <rFont val="ＭＳ ゴシック"/>
        <charset val="128"/>
      </rPr>
      <t xml:space="preserve">0:WebAPI
1:FileIF
</t>
    </r>
    <r>
      <rPr>
        <sz val="9"/>
        <color rgb="FFFF0000"/>
        <rFont val="ＭＳ ゴシック"/>
        <charset val="128"/>
      </rPr>
      <t>2:DB direct</t>
    </r>
  </si>
  <si>
    <t>0:WebAPI
1:FileIF</t>
  </si>
  <si>
    <t>accept_date</t>
  </si>
  <si>
    <t>Qtaro受付日時</t>
  </si>
  <si>
    <t>Qtaroが依頼元から受取った日時</t>
  </si>
  <si>
    <t>now()</t>
  </si>
  <si>
    <t>The date and time Qtaro received the data from the requester</t>
  </si>
  <si>
    <t>return_final_date</t>
  </si>
  <si>
    <t>Qtaro最終返却日時</t>
  </si>
  <si>
    <t>Qtaroが依頼元へ関連するデータを返却した最終日時</t>
  </si>
  <si>
    <t>The last date and time Qtaro returned the relevant data to the requester</t>
  </si>
  <si>
    <t>連携先送信日時</t>
  </si>
  <si>
    <t>response_date</t>
  </si>
  <si>
    <t>連携先最終受信日時</t>
  </si>
  <si>
    <t>err_info</t>
  </si>
  <si>
    <t>キューステータスがエラー(=999)に更新された理由</t>
  </si>
  <si>
    <t>The reason that the queue status updated to error (=999)</t>
  </si>
  <si>
    <t>notes</t>
  </si>
  <si>
    <t>Register Batch ID</t>
  </si>
  <si>
    <t>Update with Batch ID</t>
  </si>
  <si>
    <t>qtaro_send_request</t>
  </si>
  <si>
    <t>依頼ID</t>
  </si>
  <si>
    <t>送信ステータス</t>
  </si>
  <si>
    <t>1:依頼データ解析待ち
2:依頼データ解析中
3:依頼データ解析済み（送信依頼済み）
8:一時停止
9:解析エラー</t>
  </si>
  <si>
    <t>1: Waiting for requested data analysis
2: Requested data being analyzed
3: Requested data analyzed (Sending request completed)
8: Paused
9: Analysis error</t>
  </si>
  <si>
    <t>node_id</t>
  </si>
  <si>
    <t>処理サーバID</t>
  </si>
  <si>
    <t>col01</t>
  </si>
  <si>
    <t>通常カラム01</t>
  </si>
  <si>
    <t>col02</t>
  </si>
  <si>
    <t>通常カラム02</t>
  </si>
  <si>
    <t>col03</t>
  </si>
  <si>
    <t>通常カラム03</t>
  </si>
  <si>
    <t>col04</t>
  </si>
  <si>
    <t>通常カラム04</t>
  </si>
  <si>
    <t>col05</t>
  </si>
  <si>
    <t>通常カラム05</t>
  </si>
  <si>
    <t>col06</t>
  </si>
  <si>
    <t>通常カラム06</t>
  </si>
  <si>
    <t>col07</t>
  </si>
  <si>
    <t>通常カラム07</t>
  </si>
  <si>
    <t>col08</t>
  </si>
  <si>
    <t>通常カラム08</t>
  </si>
  <si>
    <t>col09</t>
  </si>
  <si>
    <t>通常カラム09</t>
  </si>
  <si>
    <t>col10</t>
  </si>
  <si>
    <t>通常カラム10</t>
  </si>
  <si>
    <t>col11</t>
  </si>
  <si>
    <t>通常カラム11</t>
  </si>
  <si>
    <t>col12</t>
  </si>
  <si>
    <t>通常カラム12</t>
  </si>
  <si>
    <t>col13</t>
  </si>
  <si>
    <t>通常カラム13</t>
  </si>
  <si>
    <t>col14</t>
  </si>
  <si>
    <t>通常カラム14</t>
  </si>
  <si>
    <t>col15</t>
  </si>
  <si>
    <t>通常カラム15</t>
  </si>
  <si>
    <t>col16</t>
  </si>
  <si>
    <t>通常カラム16</t>
  </si>
  <si>
    <t>col17</t>
  </si>
  <si>
    <t>通常カラム17</t>
  </si>
  <si>
    <t>col18</t>
  </si>
  <si>
    <t>通常カラム18</t>
  </si>
  <si>
    <t>col19</t>
  </si>
  <si>
    <t>通常カラム19</t>
  </si>
  <si>
    <t>col20</t>
  </si>
  <si>
    <t>通常カラム20</t>
  </si>
  <si>
    <t>col21</t>
  </si>
  <si>
    <t>通常カラム21</t>
  </si>
  <si>
    <t>col22</t>
  </si>
  <si>
    <t>通常カラム22</t>
  </si>
  <si>
    <t>col23</t>
  </si>
  <si>
    <t>通常カラム23</t>
  </si>
  <si>
    <t>col24</t>
  </si>
  <si>
    <t>通常カラム24</t>
  </si>
  <si>
    <t>col25</t>
  </si>
  <si>
    <t>通常カラム25</t>
  </si>
  <si>
    <t>col26</t>
  </si>
  <si>
    <t>通常カラム26</t>
  </si>
  <si>
    <t>col27</t>
  </si>
  <si>
    <t>通常カラム27</t>
  </si>
  <si>
    <t>col28</t>
  </si>
  <si>
    <t>通常カラム28</t>
  </si>
  <si>
    <t>col29</t>
  </si>
  <si>
    <t>通常カラム29</t>
  </si>
  <si>
    <t>col30</t>
  </si>
  <si>
    <t>通常カラム30</t>
  </si>
  <si>
    <t>s_col01</t>
  </si>
  <si>
    <t>繰返カラム01</t>
  </si>
  <si>
    <t>s_col02</t>
  </si>
  <si>
    <t>繰返カラム02</t>
  </si>
  <si>
    <t>s_col03</t>
  </si>
  <si>
    <t>繰返カラム03</t>
  </si>
  <si>
    <t>s_col04</t>
  </si>
  <si>
    <t>繰返カラム04</t>
  </si>
  <si>
    <t>s_col05</t>
  </si>
  <si>
    <t>繰返カラム05</t>
  </si>
  <si>
    <t>s_col06</t>
  </si>
  <si>
    <t>繰返カラム06</t>
  </si>
  <si>
    <t>s_col07</t>
  </si>
  <si>
    <t>繰返カラム07</t>
  </si>
  <si>
    <t>s_col08</t>
  </si>
  <si>
    <t>繰返カラム08</t>
  </si>
  <si>
    <t>s_col09</t>
  </si>
  <si>
    <t>繰返カラム09</t>
  </si>
  <si>
    <t>s_col10</t>
  </si>
  <si>
    <t>繰返カラム10</t>
  </si>
  <si>
    <t>send_analyze_date</t>
  </si>
  <si>
    <t>送信データ解析日時</t>
  </si>
  <si>
    <t>qtaro_recv_request</t>
  </si>
  <si>
    <t>返却ID</t>
  </si>
  <si>
    <t>トランザクションTYPE</t>
  </si>
  <si>
    <r>
      <rPr>
        <sz val="9"/>
        <color rgb="FFFF0000"/>
        <rFont val="ＭＳ ゴシック"/>
        <charset val="128"/>
      </rPr>
      <t xml:space="preserve">エラーとなったトランザクションタイプ
II001:SIM発注(orderLine)
</t>
    </r>
    <r>
      <rPr>
        <strike/>
        <sz val="9"/>
        <color rgb="FF0000FF"/>
        <rFont val="ＭＳ ゴシック"/>
        <charset val="128"/>
      </rPr>
      <t>II002:SIM発注(ESIMLineOrder)</t>
    </r>
    <r>
      <rPr>
        <sz val="9"/>
        <color rgb="FFFF0000"/>
        <rFont val="ＭＳ ゴシック"/>
        <charset val="128"/>
      </rPr>
      <t xml:space="preserve">
II101:新規発番(bindFirstLine)
II102:MNP(bindFirstLine) 
II201:MNP予約(ツーストップ継続利用)(requestMNPNumber)
</t>
    </r>
    <r>
      <rPr>
        <sz val="9"/>
        <color rgb="FF0000FF"/>
        <rFont val="ＭＳ ゴシック"/>
        <charset val="128"/>
      </rPr>
      <t>II202:MNP転入(ワンストップ)(getMNPOS)</t>
    </r>
    <r>
      <rPr>
        <sz val="9"/>
        <color rgb="FFFF0000"/>
        <rFont val="ＭＳ ゴシック"/>
        <charset val="128"/>
      </rPr>
      <t xml:space="preserve">
II300:SIM交換(音声SIM)(同番交換)
(KDDIのみ: switchLine)
II301:SIM交換(SMS/データSIM)(異番交換)(bindLine)
II310:通話オプション変更(setVoiceOption/cancelVoiceOption)
II311:モバイルオプション変更(addMobileOption/cancelMobileOption)
II312:5G通信変更(unset5GStatus/unset5GStatus)
II313:DNSフィルタリング変更(setDnsFiltering)
II314:WorldCall/WorldWing変更(docomoのみ)(setWorldCall)
II320:プラン変更(changeBundle)
II321:データ容量追加(addCoupon)
II400:申出解約(cancelLine)
II401:利用中断・再開(setLinePause/unsetLinePause)
II500:回線情報取得(KPU)
II501:回線グループ情報取得(KPG)
</t>
    </r>
  </si>
  <si>
    <t>受信ステータス</t>
  </si>
  <si>
    <t>1:受信データ返却待ち
2:受信データ返却中
3:依頼元へ返却済み
8:一時停止
9:返却エラー</t>
  </si>
  <si>
    <t>1: Waiting for received data return
2: Returning received data
3: Already returned to requester
8: Paused
9: Return error</t>
  </si>
  <si>
    <t>receive_analyze_date</t>
  </si>
  <si>
    <t>受信データ解析日時</t>
  </si>
  <si>
    <t>連携先受信履歴管理.ID
receive_data.id</t>
  </si>
  <si>
    <t>Partner Receiving History Management.ID
receive_data.id</t>
  </si>
  <si>
    <t>receive_date</t>
  </si>
  <si>
    <t>返却日時</t>
  </si>
  <si>
    <t>依頼元への返却日時</t>
  </si>
  <si>
    <t>Date and time of return to the requester</t>
  </si>
  <si>
    <t>receive_file</t>
  </si>
  <si>
    <t>返却ファイル名</t>
  </si>
  <si>
    <t>qtaro_error_ctrl</t>
  </si>
  <si>
    <t>OL+英数字(13文字ジャスト)</t>
  </si>
  <si>
    <t>'ERROR'</t>
  </si>
  <si>
    <t>OL + alphanumeric characters (Just 13 characters)</t>
  </si>
  <si>
    <t>1:未処理
2:処理中
3:処理済
8:一時停止
9:エラー</t>
  </si>
  <si>
    <t>1: Unprocessed
2: Processing
3: Processed
8: Paused
9: Error</t>
  </si>
  <si>
    <t>08/29 delete BEB, default 1</t>
  </si>
  <si>
    <t>request_kind</t>
  </si>
  <si>
    <t>依頼元種別</t>
  </si>
  <si>
    <r>
      <rPr>
        <sz val="9"/>
        <rFont val="ＭＳ ゴシック"/>
        <charset val="128"/>
      </rPr>
      <t xml:space="preserve">ol:1
</t>
    </r>
    <r>
      <rPr>
        <strike/>
        <sz val="9"/>
        <color rgb="FFFF0000"/>
        <rFont val="ＭＳ ゴシック"/>
        <charset val="128"/>
      </rPr>
      <t>BEB :2</t>
    </r>
  </si>
  <si>
    <t>oliver:1
BEB :2</t>
  </si>
  <si>
    <r>
      <rPr>
        <sz val="9"/>
        <rFont val="ＭＳ ゴシック"/>
        <charset val="128"/>
      </rPr>
      <t xml:space="preserve">エラーとなったトランザクションタイプ
II001:SIM発注(orderLine)
</t>
    </r>
    <r>
      <rPr>
        <sz val="9"/>
        <color rgb="FFFF0000"/>
        <rFont val="ＭＳ ゴシック"/>
        <charset val="128"/>
      </rPr>
      <t>II002:SIM発注(ESIMLineOrder)</t>
    </r>
    <r>
      <rPr>
        <sz val="9"/>
        <rFont val="ＭＳ ゴシック"/>
        <charset val="128"/>
      </rPr>
      <t xml:space="preserve">
II101:新規発番(bindFirstLine)
II102:MNP(bindFirstLine) 
II201:MNP予約(ツーストップ継続利用)(requestMNPNumber)
II202:MNP転入(ワンストップ)(getMNPOS)
II300:SIM交換(音声SIM)(同番交換)
(KDDIのみ: switchLine)
II301:SIM交換(SMS/データSIM)(異番交換)(bindLine)
II310:音声オプション変更(setVoiceOption/cancelVoiceOption)
II311:モバイルオプション変更(addMobileOption/cancelMobileOption)
II312:5G通信変更(set5GStatus/unset5GStatus)
II313:DNSフィルタリング変更(setDnsFiltering)
II314:WorldCall/WorldWing変更(docomoのみ)(setWorldCall)
II320:プラン変更(changeBundle)
</t>
    </r>
    <r>
      <rPr>
        <strike/>
        <sz val="9"/>
        <color rgb="FFFF0000"/>
        <rFont val="ＭＳ ゴシック"/>
        <charset val="128"/>
      </rPr>
      <t>II321:データ容量追加(addCoupon)</t>
    </r>
    <r>
      <rPr>
        <sz val="9"/>
        <rFont val="ＭＳ ゴシック"/>
        <charset val="128"/>
      </rPr>
      <t xml:space="preserve">
II400:申出解約(cancelLine)
II401:利用中断・再開(setLinePause/unsetLinePause)</t>
    </r>
    <r>
      <rPr>
        <sz val="9"/>
        <color rgb="FFFF0000"/>
        <rFont val="ＭＳ ゴシック"/>
        <charset val="128"/>
      </rPr>
      <t xml:space="preserve">
II410:クーリングオフ(cancelLine)</t>
    </r>
    <r>
      <rPr>
        <sz val="9"/>
        <rFont val="ＭＳ ゴシック"/>
        <charset val="128"/>
      </rPr>
      <t xml:space="preserve">
</t>
    </r>
    <r>
      <rPr>
        <strike/>
        <sz val="9"/>
        <color rgb="FFFF0000"/>
        <rFont val="ＭＳ ゴシック"/>
        <charset val="128"/>
      </rPr>
      <t>II500:回線情報取得(KPU)
II501:回線グループ情報取得(KPG)</t>
    </r>
    <r>
      <rPr>
        <sz val="9"/>
        <rFont val="ＭＳ ゴシック"/>
        <charset val="128"/>
      </rPr>
      <t xml:space="preserve">
</t>
    </r>
  </si>
  <si>
    <t>0:WebAPI
1:FileIF
2:DB</t>
  </si>
  <si>
    <t>Q受付日時</t>
  </si>
  <si>
    <t>Qが依頼元から受取った日時</t>
  </si>
  <si>
    <t>The date and time Q received it from the requester</t>
  </si>
  <si>
    <t>Q最終返却日時</t>
  </si>
  <si>
    <t>Qが依頼元へ関連するデータを返却した最終日時</t>
  </si>
  <si>
    <t>The last date and time that Q returned relevant data to the requester</t>
  </si>
  <si>
    <t>note1</t>
  </si>
  <si>
    <t>備考1</t>
  </si>
  <si>
    <t>note2</t>
  </si>
  <si>
    <t>備考2</t>
  </si>
  <si>
    <t>予備項目</t>
  </si>
  <si>
    <t>Reserved Items</t>
  </si>
  <si>
    <t>note3</t>
  </si>
  <si>
    <t>備考3</t>
  </si>
  <si>
    <t>検索項目</t>
  </si>
  <si>
    <t>検索結果</t>
  </si>
  <si>
    <t>詳細画面への表示項目</t>
  </si>
  <si>
    <t>Search item</t>
  </si>
  <si>
    <t>Search result</t>
  </si>
  <si>
    <t>Items displayed on the details screen</t>
  </si>
  <si>
    <t>●は新規</t>
  </si>
  <si>
    <t>一覧表項目</t>
  </si>
  <si>
    <t>● is new</t>
  </si>
  <si>
    <t>List Items</t>
  </si>
  <si>
    <t>Oliver:OL+英数字(13文字ジャスト)</t>
  </si>
  <si>
    <t>ix1_1 ix2_1</t>
  </si>
  <si>
    <t>Oliver:OL+ Alphanumeric characters (Just 13 characters)</t>
  </si>
  <si>
    <t>data_type</t>
  </si>
  <si>
    <t>依頼種別</t>
  </si>
  <si>
    <t>1:依頼リクエスト
-1:進捗リクエスト</t>
  </si>
  <si>
    <t>1: Request
-1: Progress Request</t>
  </si>
  <si>
    <t>0:作成中
1:未処理
2:処理中
3:送信済み
8:一時停止
9:エラー</t>
  </si>
  <si>
    <t>ix2_2</t>
  </si>
  <si>
    <t>0: Creating
1: Unprocessed
2: Processing
3: Sent
8: Paused
9: Error</t>
  </si>
  <si>
    <t>08/29 nouse</t>
  </si>
  <si>
    <t>未処理、または、連携中では
　null
進捗を得たら
　iij_receive_data.id</t>
  </si>
  <si>
    <t>trn_type</t>
  </si>
  <si>
    <t>method_name</t>
  </si>
  <si>
    <t>APIメソッド名</t>
  </si>
  <si>
    <t xml:space="preserve">使用するAPIメソッド名
</t>
  </si>
  <si>
    <t>The name of the API method to use</t>
  </si>
  <si>
    <t>master_id</t>
  </si>
  <si>
    <t>マスターID</t>
  </si>
  <si>
    <t>SA番号</t>
  </si>
  <si>
    <t>SA No.</t>
  </si>
  <si>
    <t>service_code</t>
  </si>
  <si>
    <t>事業者サービスコード</t>
  </si>
  <si>
    <t>kpd番号
[kpd]+8桁</t>
  </si>
  <si>
    <t>kpd number
[kpd]+8 digits</t>
  </si>
  <si>
    <t>line_type</t>
  </si>
  <si>
    <t>回線タイプ</t>
  </si>
  <si>
    <t>回線タイプ文字列
「telno」「iccid」「kpo」「kpu」</t>
  </si>
  <si>
    <t>「kpu」固定</t>
  </si>
  <si>
    <t>Line Type String
「telno」「iccid」「kpo」「kpu」</t>
  </si>
  <si>
    <t>「kpu」fixed</t>
  </si>
  <si>
    <t>kpu番号
[kpu]+8桁数字</t>
  </si>
  <si>
    <t>kpu number
[kpu]+8 digits</t>
  </si>
  <si>
    <t>回線グループサービスコード</t>
  </si>
  <si>
    <t>kpg番号
[kpg]+8桁数字</t>
  </si>
  <si>
    <t>kpg number
[kpg]+8 digits</t>
  </si>
  <si>
    <t>新規申込時のバンドルクーポン量</t>
  </si>
  <si>
    <t>Bundle coupon amount for new applications</t>
  </si>
  <si>
    <t>activate_type</t>
  </si>
  <si>
    <t>2:データSIM（SMS）
3:音声SIM</t>
  </si>
  <si>
    <t>コード値：和名</t>
  </si>
  <si>
    <t>2: Data SIM（SMS）
3: Voice SIM</t>
  </si>
  <si>
    <t>Code value: Japanese name</t>
  </si>
  <si>
    <t>解約日</t>
  </si>
  <si>
    <t>システム日付</t>
  </si>
  <si>
    <t>System date</t>
  </si>
  <si>
    <t>回線グループの種類</t>
  </si>
  <si>
    <t>1:シングルプラン
null:マルチプラン</t>
  </si>
  <si>
    <t>SIM開通で使用</t>
  </si>
  <si>
    <t>1: Single plan
null: Multi-plan</t>
  </si>
  <si>
    <t>Used for SIM activation</t>
  </si>
  <si>
    <t>変更後の回線グループの種類</t>
  </si>
  <si>
    <t>プラン変更で使用</t>
  </si>
  <si>
    <t>Used for plan changes</t>
  </si>
  <si>
    <t>next_bundle</t>
  </si>
  <si>
    <t>翌月以降のバンドルクーポン量</t>
  </si>
  <si>
    <t>MNP reservation number</t>
  </si>
  <si>
    <t>mnp_tel</t>
  </si>
  <si>
    <t>MNP電話番号（ハイフンなし）</t>
  </si>
  <si>
    <t>〇</t>
  </si>
  <si>
    <t>MNP phone number (no hyphen)</t>
  </si>
  <si>
    <t>sei</t>
  </si>
  <si>
    <t>MNP予約者姓漢字</t>
  </si>
  <si>
    <t>全角漢字
MNP予約者漢字（姓＋名）合わせて全角39文字まで</t>
  </si>
  <si>
    <t>法人の場合は会社名</t>
  </si>
  <si>
    <t>Full-width Kanji
MNP reservation name (first name+ last name), up to 39 full-width characters in total.</t>
  </si>
  <si>
    <t>If a company is a corporation, enter the company name.</t>
  </si>
  <si>
    <t>mei</t>
  </si>
  <si>
    <t>MNP予約者名漢字</t>
  </si>
  <si>
    <t>法人の場合はnull</t>
  </si>
  <si>
    <t>If a company is a corporation, enter null.</t>
  </si>
  <si>
    <t>sei_kana</t>
  </si>
  <si>
    <t>MNP予約者姓カナ</t>
  </si>
  <si>
    <t>全角カナ
MNP予約者カナ（姓＋名）合わせて全角59文字まで</t>
  </si>
  <si>
    <t>法人の場合は会社名カナ</t>
  </si>
  <si>
    <t>Full-width Kana
MNP reservation name (first name+ laste name), up to 59 full-width characters in total.</t>
  </si>
  <si>
    <t>If a company is a corporation, enter the company name in kana.</t>
  </si>
  <si>
    <t>mei_kana</t>
  </si>
  <si>
    <t>MNP予約者名カナ</t>
  </si>
  <si>
    <t>MNP予約者の生年月日</t>
  </si>
  <si>
    <t>sex</t>
  </si>
  <si>
    <t>MNP予約者の性別</t>
  </si>
  <si>
    <t>M：男性
F：女性
C：法人</t>
  </si>
  <si>
    <t>M: Male
F: Female
C: Corporation</t>
  </si>
  <si>
    <t>answer_phone</t>
  </si>
  <si>
    <t>留守番電話オプション契約</t>
  </si>
  <si>
    <t xml:space="preserve">契約または解約の時に 1 となる
</t>
  </si>
  <si>
    <t>音声オプション変更で使用</t>
  </si>
  <si>
    <t xml:space="preserve">It becomes 1 when signing or cancelling a contract.
</t>
  </si>
  <si>
    <t>Used to change voice options.</t>
  </si>
  <si>
    <t>call_waiting</t>
  </si>
  <si>
    <t>割込み電話オプション契約</t>
  </si>
  <si>
    <t xml:space="preserve">It becomes 1 when signing or cancelling a contract.
</t>
  </si>
  <si>
    <t>spam_phone_blocker</t>
  </si>
  <si>
    <t>迷惑電話撃退オプション契約</t>
  </si>
  <si>
    <t>新しい回線サービスコード</t>
  </si>
  <si>
    <t>SIM交換の場合の新しいKPU番号
kpu番号
[kpu]+8桁数字</t>
  </si>
  <si>
    <t>異番交換の時用</t>
  </si>
  <si>
    <t>New KPU number in case of SIM card exchange
KPU number
[KPU] + 8 digits</t>
  </si>
  <si>
    <t>For exchanging different numbers</t>
  </si>
  <si>
    <t>mail_to</t>
  </si>
  <si>
    <t>開通結果メールアドレス（To）</t>
  </si>
  <si>
    <t>開通結果が送信されるメールドレス（To）</t>
  </si>
  <si>
    <t>Email address to which the activation result will be sent (To)</t>
  </si>
  <si>
    <t>mail_cc</t>
  </si>
  <si>
    <t>開通結果メールアドレス（Cc）</t>
  </si>
  <si>
    <t>開通結果が送信されるメールドレス（Cc）</t>
  </si>
  <si>
    <t>Email address to which the activation result will be sent (Cc)</t>
  </si>
  <si>
    <t>リクエスト送信日時</t>
  </si>
  <si>
    <t>Request send date and time</t>
  </si>
  <si>
    <t>レスポンスのレスポンス時刻</t>
  </si>
  <si>
    <t>Response time</t>
  </si>
  <si>
    <t>レスポンスコード</t>
  </si>
  <si>
    <t>レスポンスのレスポンスコード</t>
  </si>
  <si>
    <t>Response code</t>
  </si>
  <si>
    <t>base_send_id</t>
  </si>
  <si>
    <t>依頼リクエスト時の送信id</t>
  </si>
  <si>
    <t>data_type=1 の際の送信id</t>
  </si>
  <si>
    <t>Send ID when data_type=1 is specified</t>
  </si>
  <si>
    <t>progress_id</t>
  </si>
  <si>
    <t>進捗管理用のid</t>
  </si>
  <si>
    <t>進捗管理テーブルの該当id</t>
  </si>
  <si>
    <t>Corresponding ID in the progress management table</t>
  </si>
  <si>
    <t>受信種別</t>
  </si>
  <si>
    <t>1:依頼リクエストのレスポンス
-1:進捗リクエストのレスポンス</t>
  </si>
  <si>
    <t>和名で表示</t>
  </si>
  <si>
    <t>1: Response to the request
-1: Response to the progress request</t>
  </si>
  <si>
    <t>Displayed in Japanese name</t>
  </si>
  <si>
    <t>レス記録
　対応するsend_dataレコードのid
要求記録
　null または何かを指すかも知れない</t>
  </si>
  <si>
    <t>0:作成中
1:未処理
2:解析中
3:解析済み
8:一時停止
9:エラー</t>
  </si>
  <si>
    <t>0: Creating
1: Unprocessed
2: Analyzing
3: Analyzed
8: Paused
9: Error</t>
  </si>
  <si>
    <t xml:space="preserve">送信時のAPIメソッド名
</t>
  </si>
  <si>
    <t>API method name when sending</t>
  </si>
  <si>
    <t xml:space="preserve">【新規申込】※店舗/webOLSU
ENTR00：完了
ENTR15：受付
ENTR98：開通エラー
ENTR99：エラー
【MNP】※店舗/webOLSU
ENTR00：完了
ENTR15：受付
ENTR98：開通エラー
ENTR99：エラー
【おうちMNP 半黒作成】※webOLSU
BIND00：完了
BIND15：受付
BIND98：プロビ失敗
BIND99：エラー
【おうちMNP 開通】※webOLSU
ENTR00：完了（開通）
ENTR15：受付
ENTR99：エラー
ENTR96：MNP期限切れ
ENTR97：MNPエラー
ENTR98：開通エラー
【SIM交換】※店舗/webOLSU
ACHG00：完了
ACHG15：受付
ACHG98：交換エラー
ACHG99：エラー
【利用中断再開】
STRS00：利用停止完了
STRS01：利用再開完了
STRS99：エラー
【申出解約】
QUIT00：完了(解約完了)
QUIT99：エラー
【MNP転出予約】
QUIT00：完了(転出完了)
QUIT15：MNP転出受付
QUIT63：MNP転出待ち
QUIT98：MNP有効期限切れ
QUIT99：エラー
【プラン変更】
BCHG00：完了(変更完了)
BCHG15：プラン変更受付
BCHG99：エラー
【音声オプション変更】
PCHG00：完了(変更完了)
PCHG15：変更受付
PCHG99：エラー
【回線情報取得】
KPUI00：完了
KPUI99：エラー
【回線グループ情報取得】
KPGI00：完了
KPGI99：エラー
</t>
  </si>
  <si>
    <t>なおす</t>
  </si>
  <si>
    <t xml:space="preserve">【New application】※Store/webOLSU
ENTR00：完了
ENTR15：受付
ENTR98：開通エラー
ENTR99：エラー
【MNP】※Store/webOLSU
ENTR00：完了
ENTR15：受付
ENTR98：開通エラー
ENTR99：エラー
【Home MNP half-black creation】※webOLSU
BIND00：完了
BIND15：受付
BIND98：プロビ失敗
BIND99：エラー
【Home MNP activation】※webOLSU
ENTR00：完了（開通）
ENTR15：受付
ENTR99：エラー
ENTR96：MNP期限切れ
ENTR97：MNPエラー
ENTR98：開通エラー
【SIM exchange】※Store/webOLSU
ACHG00：完了
ACHG15：受付
ACHG98：交換エラー
ACHG99：エラー
【Suspended/Resumed Service】
STRS00：利用停止完了
STRS01：利用再開完了
STRS99：エラー
【Cancellation request】
QUIT00：完了(解約完了)
QUIT99：エラー
【MNP transfer reservation】
QUIT00：完了(転出完了)
QUIT15：MNP転出受付
QUIT63：MNP転出待ち
QUIT98：MNP有効期限切れ
QUIT99：エラー
【Plan change】
BCHG00：完了(変更完了)
BCHG15：プラン変更受付
BCHG99：エラー
【Voice option change】
PCHG00：完了(変更完了)
PCHG15：変更受付
PCHG99：エラー
【Line information acquisition】
KPUI00：完了
KPUI99：エラー
【Line group information acquisition】
KPGI00：完了
KPGI99：エラー
</t>
  </si>
  <si>
    <t>Fix</t>
  </si>
  <si>
    <t xml:space="preserve">オーダステータス
200:正常
200以外は異常コード
</t>
  </si>
  <si>
    <t>200～999 までの３桁固定数字
依頼元へ返却する際に 200 ⇒ 000 へ変更する</t>
  </si>
  <si>
    <t xml:space="preserve">Order status
200:正常
200以外は異常コード
</t>
  </si>
  <si>
    <t>A fixed three-digit number between 200 and 999
Change 200 to 000 when returning to the sender</t>
  </si>
  <si>
    <t>IIJ内のSIM(顧客)を一意に識別するサービスコード
[kpu]+8桁数字</t>
  </si>
  <si>
    <t>Service code that uniquely identifies the SIM (customer) within IIJ
[kpu] + 8 digits</t>
  </si>
  <si>
    <t>IIJ内のSIM(回線グループ)を一意に識別するサービスコード
[kpg]+8桁数字</t>
  </si>
  <si>
    <t>Service code that uniquely identifies a SIM (line group) within IIJ
[kpg] + 8 digits</t>
  </si>
  <si>
    <t>getKpoInfoの戻り値</t>
  </si>
  <si>
    <t>The return value of getKpoInfo</t>
  </si>
  <si>
    <t>SIM製造番号</t>
  </si>
  <si>
    <t>sim</t>
  </si>
  <si>
    <t>SIM種別</t>
  </si>
  <si>
    <t>SIM種別コード
13:マルチSIMカード（SMS）
14:マルチSIMカード（音声通話）
19:マルチSIMカード（未開通）</t>
  </si>
  <si>
    <t>getKpoInfoの戻り値
13:L2データSIM相当
14:L2通話SIM相当</t>
  </si>
  <si>
    <t>SIM type code
13:マルチSIMカード（SMS）
14:マルチSIMカード（音声通話）
19:マルチSIMカード（未開通）</t>
  </si>
  <si>
    <t>The return value of getKpoInfo
13:L2データSIM相当
14:L2通話SIM相当</t>
  </si>
  <si>
    <t>Line start date</t>
  </si>
  <si>
    <t>アクティベート日</t>
  </si>
  <si>
    <t>Line activation date</t>
  </si>
  <si>
    <t>解約日（MNPポートアウト日）</t>
  </si>
  <si>
    <t>回線解約日（MNPポートアウト実施日）</t>
  </si>
  <si>
    <t>Line cancellation date (MNP port-out date)</t>
  </si>
  <si>
    <t>delivery_code</t>
  </si>
  <si>
    <t>配送伝票番号</t>
  </si>
  <si>
    <t>getKpoInfoの戻り値
使用予定なし</t>
  </si>
  <si>
    <t>The return value of getKpoInfo
Not planned for use</t>
  </si>
  <si>
    <t>answer_phone_status</t>
  </si>
  <si>
    <t>留守番電話オプション契約状態</t>
  </si>
  <si>
    <t>留守番電話オプションの契約ステータス
0:未契約
1:契約準備中
2:契約中
3:解約準備中</t>
  </si>
  <si>
    <t>Voicemail option contract status
0:未契約
1:契約準備中
2:契約中
3:解約準備中</t>
  </si>
  <si>
    <t>answer_phone_start_date</t>
  </si>
  <si>
    <t>留守番電話オプション利用開始日</t>
  </si>
  <si>
    <t>留守番電話オプションの利用開始日</t>
  </si>
  <si>
    <t>Usage start date for Voicemail option</t>
  </si>
  <si>
    <t>answer_phone_cancel_date</t>
  </si>
  <si>
    <t>留守番電話オプション解約日</t>
  </si>
  <si>
    <t>留守番電話オプションの解約日</t>
  </si>
  <si>
    <t>Cancellation date for Voicemail option</t>
  </si>
  <si>
    <t>call_waiting_status</t>
  </si>
  <si>
    <t>割込み電話オプション契約状態</t>
  </si>
  <si>
    <t>割込み電話オプションの契約ステータス
0:未契約
1:契約準備中
2:契約中
3:解約準備中</t>
  </si>
  <si>
    <t>Contract status for Call waiting option
0:未契約
1:契約準備中
2:契約中
3:解約準備中</t>
  </si>
  <si>
    <t>call_waiting_start_date</t>
  </si>
  <si>
    <t>割込み電話オプション利用開始日</t>
  </si>
  <si>
    <t>割込み電話オプションの利用開始日</t>
  </si>
  <si>
    <t>Start date for call waiting option</t>
  </si>
  <si>
    <t>call_waiting_cancel_date</t>
  </si>
  <si>
    <t>割込み電話オプション解約日</t>
  </si>
  <si>
    <t>割込み電話オプションの解約日</t>
  </si>
  <si>
    <t>Cancellation date of call waiting option</t>
  </si>
  <si>
    <t>imei</t>
  </si>
  <si>
    <t>IMEI</t>
  </si>
  <si>
    <t>端末IMEI</t>
  </si>
  <si>
    <t>Device IMEI</t>
  </si>
  <si>
    <t>call_flat_rate_status</t>
  </si>
  <si>
    <t>通話定額オプション契約状態</t>
  </si>
  <si>
    <t>通話定額オプションの契約ステータス
0:未契約
1:契約準備中
2:契約中
3:解約準備中</t>
  </si>
  <si>
    <t>Flat-rate calling option contract status
0:未契約
1:契約準備中
2:契約中
3:解約準備中</t>
  </si>
  <si>
    <t>call_flat_rate_type</t>
  </si>
  <si>
    <t>通話定額オプションタイプ</t>
  </si>
  <si>
    <t>通話定額オプションのタイプ
1:5分
2:10分</t>
  </si>
  <si>
    <t>Flat-rate calling option types
1:5 minutes
2:10 minutes</t>
  </si>
  <si>
    <t>The return value of getKpoInfo
No plan for use</t>
  </si>
  <si>
    <t>call_flat_rate_start_date</t>
  </si>
  <si>
    <t>通話定額電話オプション利用開始日</t>
  </si>
  <si>
    <t>通話定額オプションの利用開始日</t>
  </si>
  <si>
    <t>Flat-rate call option start date</t>
  </si>
  <si>
    <t>call_flat_rate_cancel_date</t>
  </si>
  <si>
    <t>通話定額電話オプション解約日</t>
  </si>
  <si>
    <t>通話定額オプションの解約日</t>
  </si>
  <si>
    <t>Flat-rate call option cancellation date</t>
  </si>
  <si>
    <t>regulation</t>
  </si>
  <si>
    <t>通信規制ステータス</t>
  </si>
  <si>
    <t>通信規制ステータス
0:通常
1:規制中</t>
  </si>
  <si>
    <t>Communication restriction status
0:通常
1:規制中</t>
  </si>
  <si>
    <t>spam_phone_blocker_status</t>
  </si>
  <si>
    <t>迷惑電話撃退オプション契約状態</t>
  </si>
  <si>
    <t>迷惑電話撃退オプションの契約ステータス
0:未契約
1:契約準備中
2:契約中
3:解約準備中</t>
  </si>
  <si>
    <t>Nuisance call blocking option contract status
0:未契約
1:契約準備中
2:契約中
3:解約準備中</t>
  </si>
  <si>
    <t>spam_phone_blocker_start_date</t>
  </si>
  <si>
    <t>迷惑電話撃退オプション利用開始日</t>
  </si>
  <si>
    <t>迷惑電話撃退オプションの利用開始日</t>
  </si>
  <si>
    <t>Start date for the nuisance call blocking option</t>
  </si>
  <si>
    <t>spam_phone_blocker_cancel_date</t>
  </si>
  <si>
    <t>迷惑電話撃退オプション解約日</t>
  </si>
  <si>
    <t>迷惑電話撃退オプションの解約日</t>
  </si>
  <si>
    <t>Cancellation date for nuisance call blocking option</t>
  </si>
  <si>
    <t>オンデマンドMNP状態</t>
  </si>
  <si>
    <t>MNP開通の状態
1:オンデマンドMNP待ち
2:オンデマンドMNP処理中
3:契約中(MNP完了)
8:MNP有効期限切れ
9:MNPエラー</t>
  </si>
  <si>
    <t>MNP activation status
1:オンデマンドMNP待ち
2:オンデマンドMNP処理中
3:契約中(MNP完了)
8:MNP有効期限切れ
9:MNPエラー</t>
  </si>
  <si>
    <t>ota_status</t>
  </si>
  <si>
    <t>OTA-ROM開通ステータス</t>
  </si>
  <si>
    <t>OTAに対応するSIMの開通ステータス
1:OTA待ち
2:処理中
9:OTAエラー</t>
  </si>
  <si>
    <t>Activation status for OTA-compatible SIM
1:OTA待ち
2:処理中
9:OTAエラー</t>
  </si>
  <si>
    <t>未開通SIMカード開通ステータス</t>
  </si>
  <si>
    <t>未開通SIMカードの開通ステータス
1:開通待ち
2:開通処理中
9:開通エラー</t>
  </si>
  <si>
    <t>Activation status for unactivated SIM cards
1:開通待ち
2:開通処理中
9:開通エラー</t>
  </si>
  <si>
    <t>SIM交換ステータス</t>
  </si>
  <si>
    <t>KDDI網の回線におけるキャリア変更、または再発行の開通ステータス
1:再発行開通待ち
2:再発行開通処理中
3:契約中(交換完了)
9:再異発行開通エラー</t>
  </si>
  <si>
    <t>Carrier change or reissue activation status for KDDI network lines
1:再発行開通待ち
2:再発行開通処理中
3:契約中(交換完了)
9:再異発行開通エラー</t>
  </si>
  <si>
    <t>mnp_status</t>
  </si>
  <si>
    <t>MNP予約番号発行ステータス</t>
  </si>
  <si>
    <t>MNP予約番号の発行ステータス
0:新規発行可能
1:発行申請受付済み発行待ち
2:有効なMNP予約番号あり
3:新規発行抑止期間</t>
  </si>
  <si>
    <t>getMNPNumberの戻り値</t>
  </si>
  <si>
    <t>MNP reservation number issuance status
0:新規発行可能
1:発行申請受付済み発行待ち
2:有効なMNP予約番号あり
3:新規発行抑止期間</t>
  </si>
  <si>
    <t>open_error</t>
  </si>
  <si>
    <t>開通エラー情報</t>
  </si>
  <si>
    <t>開通エラー時の詳細情報
open_status が 9:開通エラーの場合にエラー詳細が設定
※コード値なのかメッセージなのかは未定です(4/27)</t>
  </si>
  <si>
    <t xml:space="preserve">getKpoInfoの戻り値
</t>
  </si>
  <si>
    <t xml:space="preserve">○
コード値のテキスト検索
スペース区切りで複数検索できるタイプ
</t>
  </si>
  <si>
    <t>仕様決定後、コード値だったら
コード値：和名</t>
  </si>
  <si>
    <t>Detailed information on connection errors
When open_status = 9: activation error, set error details.
*It is not yet clear whether this is a code value or a message (4/27)</t>
  </si>
  <si>
    <t xml:space="preserve">The return value of getKpoInfo
</t>
  </si>
  <si>
    <t xml:space="preserve">○
Text search for code values
Multiple searches are possible with spaces separated
</t>
  </si>
  <si>
    <t>After the specifications are finalized, if it's a code value,
Code value: Japanese name</t>
  </si>
  <si>
    <t>The return value of getMNPNumber</t>
  </si>
  <si>
    <t>MNP有効期限</t>
  </si>
  <si>
    <t>当月のバンドルクーポン</t>
  </si>
  <si>
    <t>getKpgInfoの戻り値</t>
  </si>
  <si>
    <t>The return value of getKpgInfo</t>
  </si>
  <si>
    <t>本回線グループの種類
1:シングルプラン
3:マルチプラン</t>
  </si>
  <si>
    <t>Type of main line group
1:シングルプラン
3:マルチプラン</t>
  </si>
  <si>
    <t>変更後のバンドルクーポン量</t>
  </si>
  <si>
    <t>変更後の本回線グループの種類
0:マルチプラン
1:シングルプラン</t>
  </si>
  <si>
    <t>Type of main line group after change
0:マルチプラン
1:シングルプラン</t>
  </si>
  <si>
    <t>voptions</t>
  </si>
  <si>
    <t>音声オプション情報群</t>
  </si>
  <si>
    <t>音声オプションごとに、音声オプション種別、オペレーション種別、開廃年月日を連想配列のphpシリアライズ形式で保持。</t>
  </si>
  <si>
    <t xml:space="preserve">For each voice option, store the voice-option type, operation type, and activation/termination date in a PHP-serialized associative array.
</t>
  </si>
  <si>
    <t>moptions</t>
  </si>
  <si>
    <t>モバイルオプション情報群</t>
  </si>
  <si>
    <t>モバイルオプションごとに、音声オプション種別、オペレーション種別、開廃年月日を連想配列のphpシリアライズ形式で保持。</t>
  </si>
  <si>
    <t>For each mobile option, store the voice-option type, operation type, and activation/termination dates in a PHP-serialized associative array.</t>
  </si>
  <si>
    <t>utime</t>
  </si>
  <si>
    <t>所要秒数</t>
  </si>
  <si>
    <t>受信時刻 - 送信時刻</t>
  </si>
  <si>
    <t>依頼時のみ使用、status_codeと同値</t>
  </si>
  <si>
    <t>Used only when requesting, same value as status_code</t>
  </si>
  <si>
    <t>Sending id when data_type=1</t>
  </si>
  <si>
    <t>進捗管理テーブルのid</t>
  </si>
  <si>
    <t>進捗リクエストのレコードのみセットされます</t>
  </si>
  <si>
    <t>Only progress request records are set</t>
  </si>
  <si>
    <t>iij_progress_data</t>
  </si>
  <si>
    <t>Oliver:OL+英数字(13文字ジャスト)
BEB   :BE+英数字(13文字ジャスト)</t>
  </si>
  <si>
    <t>Oliver: OL + alphanumeric characters (Just 13 characters)
BEB: BE + alphanumeric characters (Just 13 characters)</t>
  </si>
  <si>
    <t>1:未処理
2:進捗依頼データ登録中
3:進捗依頼データ登録済み（送信依頼済み）
8:一時停止
9:登録エラー</t>
  </si>
  <si>
    <t>同じトランザクションIDで進捗を取得する場合はステータスを「1:未処理」に戻すこと</t>
  </si>
  <si>
    <t>1:未処理
2:進捗依頼データ登録中
3:進捗依頼データ登録済み（Sending request completed）
8:一時停止
9:登録エラー</t>
  </si>
  <si>
    <t>If you want to retrieve progress with the same transaction ID, should reset the status to "1: Unprocessed"</t>
  </si>
  <si>
    <t>interval_time</t>
  </si>
  <si>
    <t>進捗間隔（分）</t>
  </si>
  <si>
    <t>進捗を取得する間隔を分で指定する</t>
  </si>
  <si>
    <t>受信時刻からのインターバルを計算する</t>
  </si>
  <si>
    <t>Specifies the interval in minutes for getting progress</t>
  </si>
  <si>
    <t>Calculate the interval from the reception time</t>
  </si>
  <si>
    <t xml:space="preserve">使用するAPIメソッド名
KPD.Support.getMNPNumber
KPD.Support.getKpoInfo
KPD.Support.getkpgInfo
KPD.Order.setDnsFiltering
</t>
  </si>
  <si>
    <t xml:space="preserve">The name of the API method to use
KPD.Support.getMNPNumber
KPD.Support.getKpoInfo
KPD.Support.getkpgInfo
KPD.Order.setDnsFiltering
</t>
  </si>
  <si>
    <t>KPD.Support.getMNPNumber
KPD.Support.getKpoInfo
KPD.Order.setDnsFilteringの時は必須</t>
  </si>
  <si>
    <t>Required when,
KPD.Support.getMNPNumber
KPD.Support.getKpoInfo
KPD.Order.setDnsFiltering</t>
  </si>
  <si>
    <t>KPD.Support.getkpgInfoの時は必須</t>
  </si>
  <si>
    <t>Required for KPD.Support.getkpgInfo</t>
  </si>
  <si>
    <t>進捗リクエスト送信日時</t>
  </si>
  <si>
    <t>受信解析処理にてセット</t>
  </si>
  <si>
    <t>Progress request sending date and time</t>
  </si>
  <si>
    <t>Set by receiving analysis process</t>
  </si>
  <si>
    <t>進捗レスポンスのレスポンス時刻</t>
  </si>
  <si>
    <t>Response time of progress response</t>
  </si>
  <si>
    <t>before_status</t>
  </si>
  <si>
    <t>前回返却のオーダステータス</t>
  </si>
  <si>
    <t>前回返却したオーダステータス
返却していなければNULL</t>
  </si>
  <si>
    <t>Last returned order status
NULL if not returned</t>
  </si>
  <si>
    <t>mnp_expiration</t>
  </si>
  <si>
    <t>KPD.Support.getMNPNumberで取得できたMNP有効期限(yyyymmdd)</t>
  </si>
  <si>
    <t>MNP expiration date (yyyymmdd) obtained by KPD.Support.getMNPNumber</t>
  </si>
  <si>
    <t>IIJ_SIMオーダ管理</t>
  </si>
  <si>
    <t>iij_order_sim_data</t>
  </si>
  <si>
    <t>getOrderListの戻り値</t>
  </si>
  <si>
    <t>The return value of getOrderList</t>
  </si>
  <si>
    <t>0:作成中
1:未処理
2:処理中
3:返却済み
8:一時停止
9:エラー</t>
  </si>
  <si>
    <t>0:作成中→オーダ処理日のみ入っている状態
1:未処理→オーダ処理日、ICCIDが入っている状態</t>
  </si>
  <si>
    <t>0: 作成中 → Only the order processing date has been entered.
1: 未処理 → Both the order processing date and ICCID have been entered.</t>
  </si>
  <si>
    <t>getLineListの戻り値</t>
  </si>
  <si>
    <t>The return value of  getLineList</t>
  </si>
  <si>
    <t xml:space="preserve">オーダされたSIMカードの種別
1:マルチSIMカード（SMS）
2:マルチSIMカード（音声通話S）
3:マルチSIMカード（未開通）
</t>
  </si>
  <si>
    <t xml:space="preserve">The type of SIM card ordered
1:マルチSIMカード（SMS）
2:マルチSIMカード（音声通話S）
3:マルチSIMカード（未開通）
</t>
  </si>
  <si>
    <t>order_date</t>
  </si>
  <si>
    <t>オーダ処理日</t>
  </si>
  <si>
    <t xml:space="preserve">白SIM発注オーダがIIJで処理された日
</t>
  </si>
  <si>
    <t>getOrderListで指定した日付</t>
  </si>
  <si>
    <t>The date when the white SIM order was processed by IIJ</t>
  </si>
  <si>
    <t>Date specified by getOrderList</t>
  </si>
  <si>
    <t>白SIM着荷予定日</t>
  </si>
  <si>
    <t>白SIMの倉庫着荷予定日</t>
  </si>
  <si>
    <t>getLineListの戻り値
（利用開始日）</t>
  </si>
  <si>
    <t>Expected arrival date of the white SIM card at the warehouse</t>
  </si>
  <si>
    <t>The return value of getLineList
(Start date)</t>
  </si>
  <si>
    <t>getorder_recv_date</t>
  </si>
  <si>
    <t>getOrderList受信日時</t>
  </si>
  <si>
    <t>getline_recv_date</t>
  </si>
  <si>
    <t>getLineList受信日時</t>
  </si>
  <si>
    <t>返却日</t>
  </si>
  <si>
    <t>Oliver通知時の日時</t>
  </si>
  <si>
    <t>Date and time of Oliver notification</t>
  </si>
  <si>
    <t>response_file</t>
  </si>
  <si>
    <t>Oliver通知時のファイル名</t>
  </si>
  <si>
    <t>File name of Oliver notification</t>
  </si>
  <si>
    <t>まだ調整中</t>
  </si>
  <si>
    <t>api_type</t>
  </si>
  <si>
    <t>1: getLineList
2: getESIMOrderList</t>
  </si>
  <si>
    <t>注文日</t>
  </si>
  <si>
    <t>リクエストパラメータで指定した値を設定する(YYYYMMDD形式)
getLineList.StartDate
getESIMOrderList.OrderDate</t>
  </si>
  <si>
    <t>line_service_code</t>
  </si>
  <si>
    <t>getLineList.LineServiceCode
→ [kpo|kpu]+8桁数値
getESIMOrderList.LineServiceCode
→ kpf+8桁数値</t>
  </si>
  <si>
    <t>getLineList.LineServiceCode
getESIMOrderList.Label
半角80文字相当</t>
  </si>
  <si>
    <t>getESIMOrderListのOrderIdを設定する</t>
  </si>
  <si>
    <t>i_order_status</t>
  </si>
  <si>
    <t>getESIMOrderListのOrderStatusを設定する</t>
  </si>
  <si>
    <t>タスクID</t>
  </si>
  <si>
    <t>論理削除も物理削除も行わない。</t>
  </si>
  <si>
    <t>Do not perform either logical deletion or physical deletion.</t>
  </si>
  <si>
    <t>IIJ:3</t>
  </si>
  <si>
    <t>start_time</t>
  </si>
  <si>
    <t>メンテナンス開始日時</t>
  </si>
  <si>
    <t>end_time</t>
  </si>
  <si>
    <t>メンテナンス終了日時</t>
  </si>
  <si>
    <t>int8</t>
  </si>
  <si>
    <t>8バイト符号付き整数</t>
  </si>
  <si>
    <t>BLOB</t>
  </si>
  <si>
    <t>serial8</t>
  </si>
  <si>
    <t>自動増分8バイト整数</t>
  </si>
  <si>
    <t>CHAR</t>
  </si>
  <si>
    <t>bit</t>
  </si>
  <si>
    <t>bit [ (n) ]</t>
  </si>
  <si>
    <t>固定長ビット列</t>
  </si>
  <si>
    <t>varbit</t>
  </si>
  <si>
    <t>bit varying [ (n) ]</t>
  </si>
  <si>
    <t>可変長ビット列</t>
  </si>
  <si>
    <t>bool</t>
  </si>
  <si>
    <t>論理値（真/偽）</t>
  </si>
  <si>
    <t>DECIMAL</t>
  </si>
  <si>
    <t>box</t>
  </si>
  <si>
    <t>平面上の矩形</t>
  </si>
  <si>
    <t>DOUBLE</t>
  </si>
  <si>
    <t>bytea</t>
  </si>
  <si>
    <t>バイナリデータ（"バイトの配列（byte array）"）</t>
  </si>
  <si>
    <t>DOUBLE PRECISION</t>
  </si>
  <si>
    <t>char</t>
  </si>
  <si>
    <t>character [ (n) ]</t>
  </si>
  <si>
    <t>char [ (n) ]</t>
  </si>
  <si>
    <t>固定長文字列</t>
  </si>
  <si>
    <t>ENUM</t>
  </si>
  <si>
    <t>character varying [ (n) ]</t>
  </si>
  <si>
    <t>varchar [ (n) ]</t>
  </si>
  <si>
    <t>可変長文字列</t>
  </si>
  <si>
    <t>FLOAT</t>
  </si>
  <si>
    <t>cidr</t>
  </si>
  <si>
    <t>IPv4もしくはIPv6ネットワークアドレス</t>
  </si>
  <si>
    <t>circle</t>
  </si>
  <si>
    <t>平面上の円</t>
  </si>
  <si>
    <t>暦の日付（年月日）</t>
  </si>
  <si>
    <t>float8</t>
  </si>
  <si>
    <t>double precision</t>
  </si>
  <si>
    <t>倍精度浮動小数点（8バイト）</t>
  </si>
  <si>
    <t>NUMERIC</t>
  </si>
  <si>
    <t>inet</t>
  </si>
  <si>
    <t>IPv4もしくはIPv6ホストアドレス</t>
  </si>
  <si>
    <t>REAL</t>
  </si>
  <si>
    <t>int, int4</t>
  </si>
  <si>
    <t>4バイト符号付き整数</t>
  </si>
  <si>
    <t>SET</t>
  </si>
  <si>
    <t>interval</t>
  </si>
  <si>
    <t>interval [ fields ] [ (p) ]</t>
  </si>
  <si>
    <t>時間間隔</t>
  </si>
  <si>
    <t>テキストのJSONデータ</t>
  </si>
  <si>
    <t>jsonb</t>
  </si>
  <si>
    <t>バイナリ JSON データ, 展開型</t>
  </si>
  <si>
    <t>TIME</t>
  </si>
  <si>
    <t>line</t>
  </si>
  <si>
    <t>平面上の無限直線</t>
  </si>
  <si>
    <t>TIMESTAMP</t>
  </si>
  <si>
    <t>lseg</t>
  </si>
  <si>
    <t>平面上の線分</t>
  </si>
  <si>
    <t>macaddr</t>
  </si>
  <si>
    <t>MAC（メディアアクセスコントロール）アドレス</t>
  </si>
  <si>
    <t>money</t>
  </si>
  <si>
    <t>貨幣金額</t>
  </si>
  <si>
    <t>numeric [ (p, s) ]</t>
  </si>
  <si>
    <t>decimal [ (p, s) ]</t>
  </si>
  <si>
    <t>精度の選択可能な高精度数値</t>
  </si>
  <si>
    <t>YEAR</t>
  </si>
  <si>
    <t>path</t>
  </si>
  <si>
    <t>平面上の幾何学的経路</t>
  </si>
  <si>
    <t>pg_lsn</t>
  </si>
  <si>
    <t>PostgreSQLログ順序番号</t>
  </si>
  <si>
    <t>point</t>
  </si>
  <si>
    <t>平面上の幾何学的点</t>
  </si>
  <si>
    <t>polygon</t>
  </si>
  <si>
    <t>平面上の閉じた幾何学的経路</t>
  </si>
  <si>
    <t>real</t>
  </si>
  <si>
    <t>float4</t>
  </si>
  <si>
    <t>単精度浮動小数点（4バイト）</t>
  </si>
  <si>
    <t>int2</t>
  </si>
  <si>
    <t>2バイト符号付き整数</t>
  </si>
  <si>
    <t>smallserial</t>
  </si>
  <si>
    <t>serial2</t>
  </si>
  <si>
    <t>自動増分2バイト整数</t>
  </si>
  <si>
    <t>serial</t>
  </si>
  <si>
    <t>serial4</t>
  </si>
  <si>
    <t>自動増分4バイト整数</t>
  </si>
  <si>
    <t>time</t>
  </si>
  <si>
    <t>time [ (p) ] [ without time zone ]</t>
  </si>
  <si>
    <t>時刻（時間帯なし）</t>
  </si>
  <si>
    <t>timetz</t>
  </si>
  <si>
    <t>time [ (p) ] with time zone</t>
  </si>
  <si>
    <t>時間帯付き時刻</t>
  </si>
  <si>
    <t>timestamp [ (p) ] [ without time zone ]</t>
  </si>
  <si>
    <t>日付と時刻（時間帯なし）</t>
  </si>
  <si>
    <t>timestamptz</t>
  </si>
  <si>
    <t>timestamp [ (p) ] with time zone</t>
  </si>
  <si>
    <t>時間帯付き日付と時刻</t>
  </si>
  <si>
    <t>tsquery</t>
  </si>
  <si>
    <t>テキスト検索問い合わせ</t>
  </si>
  <si>
    <t>tsvector</t>
  </si>
  <si>
    <t>テキスト検索文書</t>
  </si>
  <si>
    <t>txid_snapshot</t>
  </si>
  <si>
    <t>ユーザレベルのトランザクションIDスナップショット</t>
  </si>
  <si>
    <t>汎用一意識別子</t>
  </si>
  <si>
    <t>xml</t>
  </si>
  <si>
    <t>XMLデータ</t>
  </si>
  <si>
    <t>ＶＢＡが出力するＤＤＬファイルについて</t>
  </si>
  <si>
    <t>「テーブル一覧」の上部にボタンがありまして、ボタンを押すと</t>
  </si>
  <si>
    <t>テーブル定義_なにがし</t>
  </si>
  <si>
    <t>の名称であるシートをスキャンしＤＤＬをファイル出力するようになっています。</t>
  </si>
  <si>
    <t>なので、不要な内容（存在しないテーブル等）は、シート名を違えてください。</t>
  </si>
  <si>
    <t>テーブルが多いせいか、ファイル出力には（手元の機で）１５秒位かかります。</t>
  </si>
  <si>
    <t>現時点で利用しないテーブルでも、商用にテーブルが残ってる、もしくは利用する実装が残ってる（動かさずとも）、</t>
  </si>
  <si>
    <t>というのは「まだ生きてる」と扱う ＝ テーブル定義_なにがし シートに書く、とさせていただきます。</t>
  </si>
  <si>
    <t>ＶＢＡはさほど記述内容の正当性をチェックはしないので、ご注意ください。</t>
  </si>
  <si>
    <t>最終的には、できたファイルを一度実行して確認してください。</t>
  </si>
  <si>
    <t>========</t>
  </si>
  <si>
    <t>ＶＢＡがスキャンするのは、テーブル名の欄と、下記の列です。</t>
  </si>
  <si>
    <t>カラム名 型 size 必須 default 追加属性 index</t>
  </si>
  <si>
    <t>index 以外は書いてある内容をほぼそのまま出すいきおいです。</t>
  </si>
  <si>
    <t>ですので、例えば default 値は必要ならばきっちりクォーティングしてください。</t>
  </si>
  <si>
    <t>そして、上記の所にはメモとかは書かないでください。</t>
  </si>
  <si>
    <t>（excel コメントとかは構いません）</t>
  </si>
  <si>
    <t>現行記述の通りの列並びとしてＶＢＡは処理しますので、新たな列の挿入はしないでください。</t>
  </si>
  <si>
    <t>追加属性の所は、列定義の最後につける内容でして、</t>
  </si>
  <si>
    <t>auto_increment とか on update now() のための領域です。</t>
  </si>
  <si>
    <t>あと index の所の書き方を記しておきます。</t>
  </si>
  <si>
    <t>【プライマリキー】</t>
  </si>
  <si>
    <t>pk を接頭子として書いてください。</t>
  </si>
  <si>
    <t>単一カラムなら、そこに pk だけ書けばＯＫです。</t>
  </si>
  <si>
    <t>複数カラムなら、連結の順に pk_1 pk_2 という具合に書いてください。</t>
  </si>
  <si>
    <t>つまり、アンダーバー と 順序数字 を付ける具合です。</t>
  </si>
  <si>
    <t>順序数字部分は１桁限定です。よって連結は９個までです。</t>
  </si>
  <si>
    <t>【unique index】</t>
  </si>
  <si>
    <t>ux + 何か を接頭子として書いてください。例えば ux0 です。</t>
  </si>
  <si>
    <t>もっとも、あっても１個であろうとして ux0 で統一とさせてください。</t>
  </si>
  <si>
    <t>単一カラム・複数カラムの場合は、ＰＫに同様です。</t>
  </si>
  <si>
    <t>ux0_1 ux0_2 といった具合です。</t>
  </si>
  <si>
    <t>ＤＤＬにては テーブル名_ux0 という具合にindex名が付きます。</t>
  </si>
  <si>
    <t>【not unique index】</t>
  </si>
  <si>
    <t>ix + 何か を接頭子として書いてください。例えば ix1 です。</t>
  </si>
  <si>
    <t>何か の部分は 1 とか 2 とか、１から順に数字１文字 とさせてください。</t>
  </si>
  <si>
    <t>（１０個もindexは付けないであろう、の前提です）</t>
  </si>
  <si>
    <t>ix1_1 ix1_2 といった具合です。</t>
  </si>
  <si>
    <t>ＤＤＬにては テーブル名_ix1 という具合にindex名が付きます。</t>
  </si>
  <si>
    <t>【あるカラムが複数のindexに関係する場合】</t>
  </si>
  <si>
    <t>そのカラムのindex欄に、必要分を改行して記述してください。例えば</t>
  </si>
  <si>
    <t>といった具合です。</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</si>
</sst>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2" formatCode="_(&quot;$&quot;* #,##0_);_(&quot;$&quot;* \(#,##0\);_(&quot;$&quot;* &quot;-&quot;_);_(@_)"/>
    <numFmt numFmtId="44" formatCode="_(&quot;$&quot;* #,##0.00_);_(&quot;$&quot;* \(#,##0.00\);_(&quot;$&quot;* &quot;-&quot;??_);_(@_)"/>
    <numFmt numFmtId="176" formatCode="_ * #,##0.00_ ;_ * \-#,##0.00_ ;_ * &quot;-&quot;??_ ;_ @_ "/>
    <numFmt numFmtId="177" formatCode="_ * #,##0_ ;_ * \-#,##0_ ;_ * &quot;-&quot;_ ;_ @_ "/>
    <numFmt numFmtId="178" formatCode="yyyy/mm/dd"/>
    <numFmt numFmtId="179" formatCode="0_ "/>
  </numFmts>
  <fonts count="40">
    <font>
      <sz val="9"/>
      <name val="ＭＳ Ｐゴシック"/>
      <charset val="128"/>
    </font>
    <font>
      <sz val="9"/>
      <name val="ＭＳ ゴシック"/>
      <charset val="128"/>
    </font>
    <font>
      <b/>
      <sz val="9"/>
      <name val="ＭＳ ゴシック"/>
      <charset val="128"/>
    </font>
    <font>
      <sz val="9"/>
      <color rgb="FFFF0000"/>
      <name val="ＭＳ ゴシック"/>
      <charset val="128"/>
    </font>
    <font>
      <sz val="9"/>
      <name val="ＭＳ Ｐゴシック"/>
      <charset val="128"/>
    </font>
    <font>
      <sz val="9"/>
      <color rgb="FF0000FF"/>
      <name val="ＭＳ ゴシック"/>
      <charset val="128"/>
    </font>
    <font>
      <b/>
      <sz val="9"/>
      <color rgb="FFFF0000"/>
      <name val="ＭＳ Ｐゴシック"/>
      <charset val="128"/>
    </font>
    <font>
      <b/>
      <sz val="9"/>
      <color rgb="FFFF0000"/>
      <name val="ＭＳ ゴシック"/>
      <charset val="128"/>
    </font>
    <font>
      <sz val="9"/>
      <color rgb="FF0070C0"/>
      <name val="ＭＳ Ｐゴシック"/>
      <charset val="128"/>
    </font>
    <font>
      <sz val="9"/>
      <color rgb="FF0070C0"/>
      <name val="ＭＳ ゴシック"/>
      <charset val="128"/>
    </font>
    <font>
      <strike/>
      <sz val="9"/>
      <color rgb="FFFF0000"/>
      <name val="ＭＳ ゴシック"/>
      <charset val="128"/>
    </font>
    <font>
      <b/>
      <sz val="9"/>
      <color rgb="FF0070C0"/>
      <name val="ＭＳ ゴシック"/>
      <charset val="128"/>
    </font>
    <font>
      <strike/>
      <sz val="9"/>
      <name val="ＭＳ ゴシック"/>
      <charset val="128"/>
    </font>
    <font>
      <sz val="11"/>
      <color theme="1"/>
      <name val="Calibri"/>
      <charset val="134"/>
      <scheme val="minor"/>
    </font>
    <font>
      <u/>
      <sz val="9"/>
      <color indexed="12"/>
      <name val="ＭＳ Ｐゴシック"/>
      <charset val="128"/>
    </font>
    <font>
      <u/>
      <sz val="11"/>
      <color rgb="FF800080"/>
      <name val="Calibri"/>
      <charset val="0"/>
      <scheme val="minor"/>
    </font>
    <font>
      <sz val="11"/>
      <color rgb="FFFF0000"/>
      <name val="Calibri"/>
      <charset val="0"/>
      <scheme val="minor"/>
    </font>
    <font>
      <b/>
      <sz val="18"/>
      <color theme="3"/>
      <name val="Calibri"/>
      <charset val="134"/>
      <scheme val="minor"/>
    </font>
    <font>
      <i/>
      <sz val="11"/>
      <color rgb="FF7F7F7F"/>
      <name val="Calibri"/>
      <charset val="0"/>
      <scheme val="minor"/>
    </font>
    <font>
      <b/>
      <sz val="15"/>
      <color theme="3"/>
      <name val="Calibri"/>
      <charset val="134"/>
      <scheme val="minor"/>
    </font>
    <font>
      <b/>
      <sz val="13"/>
      <color theme="3"/>
      <name val="Calibri"/>
      <charset val="134"/>
      <scheme val="minor"/>
    </font>
    <font>
      <b/>
      <sz val="11"/>
      <color theme="3"/>
      <name val="Calibri"/>
      <charset val="134"/>
      <scheme val="minor"/>
    </font>
    <font>
      <sz val="11"/>
      <color rgb="FF3F3F76"/>
      <name val="Calibri"/>
      <charset val="0"/>
      <scheme val="minor"/>
    </font>
    <font>
      <b/>
      <sz val="11"/>
      <color rgb="FF3F3F3F"/>
      <name val="Calibri"/>
      <charset val="0"/>
      <scheme val="minor"/>
    </font>
    <font>
      <b/>
      <sz val="11"/>
      <color rgb="FFFA7D00"/>
      <name val="Calibri"/>
      <charset val="0"/>
      <scheme val="minor"/>
    </font>
    <font>
      <b/>
      <sz val="11"/>
      <color rgb="FFFFFFFF"/>
      <name val="Calibri"/>
      <charset val="0"/>
      <scheme val="minor"/>
    </font>
    <font>
      <sz val="11"/>
      <color rgb="FFFA7D00"/>
      <name val="Calibri"/>
      <charset val="0"/>
      <scheme val="minor"/>
    </font>
    <font>
      <b/>
      <sz val="11"/>
      <color theme="1"/>
      <name val="Calibri"/>
      <charset val="0"/>
      <scheme val="minor"/>
    </font>
    <font>
      <sz val="11"/>
      <color rgb="FF006100"/>
      <name val="Calibri"/>
      <charset val="0"/>
      <scheme val="minor"/>
    </font>
    <font>
      <sz val="11"/>
      <color rgb="FF9C0006"/>
      <name val="Calibri"/>
      <charset val="0"/>
      <scheme val="minor"/>
    </font>
    <font>
      <sz val="11"/>
      <color rgb="FF9C6500"/>
      <name val="Calibri"/>
      <charset val="0"/>
      <scheme val="minor"/>
    </font>
    <font>
      <sz val="11"/>
      <color theme="0"/>
      <name val="Calibri"/>
      <charset val="0"/>
      <scheme val="minor"/>
    </font>
    <font>
      <sz val="11"/>
      <color theme="1"/>
      <name val="Calibri"/>
      <charset val="0"/>
      <scheme val="minor"/>
    </font>
    <font>
      <sz val="11"/>
      <name val="ＭＳ Ｐゴシック"/>
      <charset val="128"/>
    </font>
    <font>
      <sz val="11"/>
      <color theme="1"/>
      <name val="Calibri"/>
      <charset val="134"/>
      <scheme val="minor"/>
    </font>
    <font>
      <b/>
      <sz val="9"/>
      <name val="ＭＳ Ｐゴシック"/>
      <charset val="128"/>
    </font>
    <font>
      <strike/>
      <sz val="9"/>
      <color rgb="FF0000FF"/>
      <name val="ＭＳ ゴシック"/>
      <charset val="128"/>
    </font>
    <font>
      <b/>
      <sz val="9"/>
      <name val="MS PGothic"/>
      <charset val="134"/>
    </font>
    <font>
      <sz val="9"/>
      <name val="MS PGothic"/>
      <charset val="134"/>
    </font>
    <font>
      <u/>
      <sz val="9"/>
      <name val="MS PGothic"/>
      <charset val="134"/>
    </font>
  </fonts>
  <fills count="64">
    <fill>
      <patternFill patternType="none"/>
    </fill>
    <fill>
      <patternFill patternType="gray125"/>
    </fill>
    <fill>
      <patternFill patternType="solid">
        <fgColor indexed="44"/>
        <bgColor indexed="64"/>
      </patternFill>
    </fill>
    <fill>
      <patternFill patternType="solid">
        <fgColor rgb="FFFFCCFF"/>
        <bgColor indexed="64"/>
      </patternFill>
    </fill>
    <fill>
      <patternFill patternType="solid">
        <fgColor theme="0"/>
        <bgColor indexed="64"/>
      </patternFill>
    </fill>
    <fill>
      <patternFill patternType="solid">
        <fgColor theme="3" tint="0.79985961485641"/>
        <bgColor indexed="64"/>
      </patternFill>
    </fill>
    <fill>
      <patternFill patternType="solid">
        <fgColor theme="0" tint="-0.249977111117893"/>
        <bgColor indexed="64"/>
      </patternFill>
    </fill>
    <fill>
      <patternFill patternType="solid">
        <fgColor rgb="FF0070C0"/>
        <bgColor indexed="64"/>
      </patternFill>
    </fill>
    <fill>
      <patternFill patternType="solid">
        <fgColor theme="0" tint="-0.149998474074526"/>
        <bgColor indexed="64"/>
      </patternFill>
    </fill>
    <fill>
      <patternFill patternType="solid">
        <fgColor theme="0" tint="-0.149906918546098"/>
        <bgColor indexed="64"/>
      </patternFill>
    </fill>
    <fill>
      <patternFill patternType="solid">
        <fgColor theme="5" tint="0.79985961485641"/>
        <bgColor indexed="64"/>
      </patternFill>
    </fill>
    <fill>
      <patternFill patternType="solid">
        <fgColor theme="0" tint="-0.149876400036622"/>
        <bgColor indexed="64"/>
      </patternFill>
    </fill>
    <fill>
      <patternFill patternType="solid">
        <fgColor theme="0" tint="-0.149937437055574"/>
        <bgColor indexed="64"/>
      </patternFill>
    </fill>
    <fill>
      <patternFill patternType="solid">
        <fgColor theme="5" tint="0.799951170384838"/>
        <bgColor indexed="64"/>
      </patternFill>
    </fill>
    <fill>
      <patternFill patternType="solid">
        <fgColor theme="5" tint="0.799890133365886"/>
        <bgColor indexed="64"/>
      </patternFill>
    </fill>
    <fill>
      <patternFill patternType="solid">
        <fgColor theme="3" tint="0.799890133365886"/>
        <bgColor indexed="64"/>
      </patternFill>
    </fill>
    <fill>
      <patternFill patternType="solid">
        <fgColor rgb="FFABFFAB"/>
        <bgColor indexed="64"/>
      </patternFill>
    </fill>
    <fill>
      <patternFill patternType="solid">
        <fgColor rgb="FFFFFF00"/>
        <bgColor indexed="64"/>
      </patternFill>
    </fill>
    <fill>
      <patternFill patternType="solid">
        <fgColor theme="3" tint="0.799981688894314"/>
        <bgColor indexed="64"/>
      </patternFill>
    </fill>
    <fill>
      <patternFill patternType="solid">
        <fgColor theme="5" tint="0.799920651875362"/>
        <bgColor indexed="64"/>
      </patternFill>
    </fill>
    <fill>
      <patternFill patternType="solid">
        <fgColor theme="2" tint="-0.0999786370433668"/>
        <bgColor indexed="64"/>
      </patternFill>
    </fill>
    <fill>
      <patternFill patternType="solid">
        <fgColor theme="6" tint="0.799981688894314"/>
        <bgColor indexed="64"/>
      </patternFill>
    </fill>
    <fill>
      <patternFill patternType="solid">
        <fgColor theme="6" tint="0.79985961485641"/>
        <bgColor indexed="64"/>
      </patternFill>
    </fill>
    <fill>
      <patternFill patternType="solid">
        <fgColor theme="6" tint="0.799890133365886"/>
        <bgColor indexed="64"/>
      </patternFill>
    </fill>
    <fill>
      <patternFill patternType="solid">
        <fgColor theme="7" tint="0.79985961485641"/>
        <bgColor indexed="64"/>
      </patternFill>
    </fill>
    <fill>
      <patternFill patternType="solid">
        <fgColor indexed="9"/>
        <bgColor indexed="64"/>
      </patternFill>
    </fill>
    <fill>
      <patternFill patternType="solid">
        <fgColor theme="9" tint="0.79985961485641"/>
        <bgColor indexed="64"/>
      </patternFill>
    </fill>
    <fill>
      <patternFill patternType="solid">
        <fgColor theme="6" tint="0.399914548173467"/>
        <bgColor indexed="64"/>
      </patternFill>
    </fill>
    <fill>
      <patternFill patternType="solid">
        <fgColor rgb="FFFFC000"/>
        <bgColor indexed="64"/>
      </patternFill>
    </fill>
    <fill>
      <patternFill patternType="solid">
        <fgColor rgb="FF92D050"/>
        <bgColor indexed="64"/>
      </patternFill>
    </fill>
    <fill>
      <patternFill patternType="solid">
        <fgColor rgb="FF00B0F0"/>
        <bgColor indexed="64"/>
      </patternFill>
    </fill>
    <fill>
      <patternFill patternType="solid">
        <fgColor theme="2"/>
        <bgColor indexed="64"/>
      </patternFill>
    </fill>
    <fill>
      <patternFill patternType="solid">
        <fgColor theme="8" tint="0.79985961485641"/>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4">
    <border>
      <left/>
      <right/>
      <top/>
      <bottom/>
      <diagonal/>
    </border>
    <border>
      <left style="thin">
        <color indexed="54"/>
      </left>
      <right style="thin">
        <color indexed="54"/>
      </right>
      <top style="thin">
        <color indexed="54"/>
      </top>
      <bottom/>
      <diagonal/>
    </border>
    <border>
      <left/>
      <right/>
      <top style="thin">
        <color indexed="54"/>
      </top>
      <bottom style="thin">
        <color indexed="54"/>
      </bottom>
      <diagonal/>
    </border>
    <border>
      <left style="thin">
        <color indexed="54"/>
      </left>
      <right/>
      <top style="thin">
        <color indexed="54"/>
      </top>
      <bottom style="thin">
        <color indexed="54"/>
      </bottom>
      <diagonal/>
    </border>
    <border>
      <left/>
      <right style="thin">
        <color indexed="54"/>
      </right>
      <top style="thin">
        <color indexed="54"/>
      </top>
      <bottom style="thin">
        <color indexed="54"/>
      </bottom>
      <diagonal/>
    </border>
    <border>
      <left style="thin">
        <color indexed="54"/>
      </left>
      <right style="thin">
        <color indexed="54"/>
      </right>
      <top/>
      <bottom/>
      <diagonal/>
    </border>
    <border>
      <left/>
      <right style="thin">
        <color indexed="54"/>
      </right>
      <top style="thin">
        <color indexed="54"/>
      </top>
      <bottom/>
      <diagonal/>
    </border>
    <border>
      <left style="thin">
        <color indexed="54"/>
      </left>
      <right style="thin">
        <color indexed="54"/>
      </right>
      <top/>
      <bottom style="thin">
        <color indexed="54"/>
      </bottom>
      <diagonal/>
    </border>
    <border>
      <left/>
      <right/>
      <top/>
      <bottom style="thin">
        <color indexed="54"/>
      </bottom>
      <diagonal/>
    </border>
    <border>
      <left style="thin">
        <color indexed="54"/>
      </left>
      <right style="thin">
        <color indexed="54"/>
      </right>
      <top style="thin">
        <color indexed="54"/>
      </top>
      <bottom style="thin">
        <color indexed="54"/>
      </bottom>
      <diagonal/>
    </border>
    <border>
      <left style="thin">
        <color auto="1"/>
      </left>
      <right style="thin">
        <color auto="1"/>
      </right>
      <top style="thin">
        <color auto="1"/>
      </top>
      <bottom style="thin">
        <color auto="1"/>
      </bottom>
      <diagonal/>
    </border>
    <border>
      <left style="thin">
        <color indexed="54"/>
      </left>
      <right style="thin">
        <color indexed="54"/>
      </right>
      <top style="thin">
        <color indexed="54"/>
      </top>
      <bottom style="hair">
        <color indexed="54"/>
      </bottom>
      <diagonal/>
    </border>
    <border>
      <left style="thin">
        <color indexed="54"/>
      </left>
      <right style="thin">
        <color indexed="54"/>
      </right>
      <top/>
      <bottom style="hair">
        <color indexed="54"/>
      </bottom>
      <diagonal/>
    </border>
    <border>
      <left style="thin">
        <color indexed="54"/>
      </left>
      <right style="thin">
        <color indexed="54"/>
      </right>
      <top style="hair">
        <color indexed="54"/>
      </top>
      <bottom style="hair">
        <color indexed="54"/>
      </bottom>
      <diagonal/>
    </border>
    <border>
      <left style="thin">
        <color indexed="54"/>
      </left>
      <right style="thin">
        <color indexed="54"/>
      </right>
      <top style="hair">
        <color indexed="54"/>
      </top>
      <bottom/>
      <diagonal/>
    </border>
    <border>
      <left style="thin">
        <color indexed="54"/>
      </left>
      <right style="thin">
        <color indexed="54"/>
      </right>
      <top style="hair">
        <color indexed="54"/>
      </top>
      <bottom style="thin">
        <color indexed="54"/>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5">
    <xf numFmtId="0" fontId="0" fillId="0" borderId="0">
      <alignment vertical="center"/>
    </xf>
    <xf numFmtId="176" fontId="13" fillId="0" borderId="0" applyFont="0" applyFill="0" applyBorder="0" applyAlignment="0" applyProtection="0">
      <alignment vertical="center"/>
    </xf>
    <xf numFmtId="44" fontId="13" fillId="0" borderId="0" applyFont="0" applyFill="0" applyBorder="0" applyAlignment="0" applyProtection="0">
      <alignment vertical="center"/>
    </xf>
    <xf numFmtId="9" fontId="13" fillId="0" borderId="0" applyFont="0" applyFill="0" applyBorder="0" applyAlignment="0" applyProtection="0">
      <alignment vertical="center"/>
    </xf>
    <xf numFmtId="177" fontId="13" fillId="0" borderId="0" applyFont="0" applyFill="0" applyBorder="0" applyAlignment="0" applyProtection="0">
      <alignment vertical="center"/>
    </xf>
    <xf numFmtId="42" fontId="13" fillId="0" borderId="0" applyFont="0" applyFill="0" applyBorder="0" applyAlignment="0" applyProtection="0">
      <alignment vertical="center"/>
    </xf>
    <xf numFmtId="0" fontId="14" fillId="0" borderId="0" applyNumberFormat="0" applyFill="0" applyBorder="0" applyAlignment="0" applyProtection="0">
      <alignment vertical="top"/>
      <protection locked="0"/>
    </xf>
    <xf numFmtId="0" fontId="15" fillId="0" borderId="0" applyNumberFormat="0" applyFill="0" applyBorder="0" applyAlignment="0" applyProtection="0">
      <alignment vertical="center"/>
    </xf>
    <xf numFmtId="0" fontId="13" fillId="33" borderId="16" applyNumberFormat="0" applyFont="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17" applyNumberFormat="0" applyFill="0" applyAlignment="0" applyProtection="0">
      <alignment vertical="center"/>
    </xf>
    <xf numFmtId="0" fontId="20" fillId="0" borderId="17" applyNumberFormat="0" applyFill="0" applyAlignment="0" applyProtection="0">
      <alignment vertical="center"/>
    </xf>
    <xf numFmtId="0" fontId="21" fillId="0" borderId="18" applyNumberFormat="0" applyFill="0" applyAlignment="0" applyProtection="0">
      <alignment vertical="center"/>
    </xf>
    <xf numFmtId="0" fontId="21" fillId="0" borderId="0" applyNumberFormat="0" applyFill="0" applyBorder="0" applyAlignment="0" applyProtection="0">
      <alignment vertical="center"/>
    </xf>
    <xf numFmtId="0" fontId="22" fillId="34" borderId="19" applyNumberFormat="0" applyAlignment="0" applyProtection="0">
      <alignment vertical="center"/>
    </xf>
    <xf numFmtId="0" fontId="23" fillId="35" borderId="20" applyNumberFormat="0" applyAlignment="0" applyProtection="0">
      <alignment vertical="center"/>
    </xf>
    <xf numFmtId="0" fontId="24" fillId="35" borderId="19" applyNumberFormat="0" applyAlignment="0" applyProtection="0">
      <alignment vertical="center"/>
    </xf>
    <xf numFmtId="0" fontId="25" fillId="36" borderId="21" applyNumberFormat="0" applyAlignment="0" applyProtection="0">
      <alignment vertical="center"/>
    </xf>
    <xf numFmtId="0" fontId="26" fillId="0" borderId="22" applyNumberFormat="0" applyFill="0" applyAlignment="0" applyProtection="0">
      <alignment vertical="center"/>
    </xf>
    <xf numFmtId="0" fontId="27" fillId="0" borderId="23" applyNumberFormat="0" applyFill="0" applyAlignment="0" applyProtection="0">
      <alignment vertical="center"/>
    </xf>
    <xf numFmtId="0" fontId="28" fillId="37" borderId="0" applyNumberFormat="0" applyBorder="0" applyAlignment="0" applyProtection="0">
      <alignment vertical="center"/>
    </xf>
    <xf numFmtId="0" fontId="29" fillId="38" borderId="0" applyNumberFormat="0" applyBorder="0" applyAlignment="0" applyProtection="0">
      <alignment vertical="center"/>
    </xf>
    <xf numFmtId="0" fontId="30" fillId="39" borderId="0" applyNumberFormat="0" applyBorder="0" applyAlignment="0" applyProtection="0">
      <alignment vertical="center"/>
    </xf>
    <xf numFmtId="0" fontId="31" fillId="40" borderId="0" applyNumberFormat="0" applyBorder="0" applyAlignment="0" applyProtection="0">
      <alignment vertical="center"/>
    </xf>
    <xf numFmtId="0" fontId="32" fillId="41" borderId="0" applyNumberFormat="0" applyBorder="0" applyAlignment="0" applyProtection="0">
      <alignment vertical="center"/>
    </xf>
    <xf numFmtId="0" fontId="32" fillId="42" borderId="0" applyNumberFormat="0" applyBorder="0" applyAlignment="0" applyProtection="0">
      <alignment vertical="center"/>
    </xf>
    <xf numFmtId="0" fontId="31" fillId="43" borderId="0" applyNumberFormat="0" applyBorder="0" applyAlignment="0" applyProtection="0">
      <alignment vertical="center"/>
    </xf>
    <xf numFmtId="0" fontId="31" fillId="44" borderId="0" applyNumberFormat="0" applyBorder="0" applyAlignment="0" applyProtection="0">
      <alignment vertical="center"/>
    </xf>
    <xf numFmtId="0" fontId="32" fillId="45" borderId="0" applyNumberFormat="0" applyBorder="0" applyAlignment="0" applyProtection="0">
      <alignment vertical="center"/>
    </xf>
    <xf numFmtId="0" fontId="32" fillId="46" borderId="0" applyNumberFormat="0" applyBorder="0" applyAlignment="0" applyProtection="0">
      <alignment vertical="center"/>
    </xf>
    <xf numFmtId="0" fontId="31" fillId="47" borderId="0" applyNumberFormat="0" applyBorder="0" applyAlignment="0" applyProtection="0">
      <alignment vertical="center"/>
    </xf>
    <xf numFmtId="0" fontId="31" fillId="48" borderId="0" applyNumberFormat="0" applyBorder="0" applyAlignment="0" applyProtection="0">
      <alignment vertical="center"/>
    </xf>
    <xf numFmtId="0" fontId="32" fillId="49" borderId="0" applyNumberFormat="0" applyBorder="0" applyAlignment="0" applyProtection="0">
      <alignment vertical="center"/>
    </xf>
    <xf numFmtId="0" fontId="32" fillId="50" borderId="0" applyNumberFormat="0" applyBorder="0" applyAlignment="0" applyProtection="0">
      <alignment vertical="center"/>
    </xf>
    <xf numFmtId="0" fontId="31" fillId="51" borderId="0" applyNumberFormat="0" applyBorder="0" applyAlignment="0" applyProtection="0">
      <alignment vertical="center"/>
    </xf>
    <xf numFmtId="0" fontId="31" fillId="52" borderId="0" applyNumberFormat="0" applyBorder="0" applyAlignment="0" applyProtection="0">
      <alignment vertical="center"/>
    </xf>
    <xf numFmtId="0" fontId="32" fillId="53" borderId="0" applyNumberFormat="0" applyBorder="0" applyAlignment="0" applyProtection="0">
      <alignment vertical="center"/>
    </xf>
    <xf numFmtId="0" fontId="32" fillId="54" borderId="0" applyNumberFormat="0" applyBorder="0" applyAlignment="0" applyProtection="0">
      <alignment vertical="center"/>
    </xf>
    <xf numFmtId="0" fontId="31" fillId="55" borderId="0" applyNumberFormat="0" applyBorder="0" applyAlignment="0" applyProtection="0">
      <alignment vertical="center"/>
    </xf>
    <xf numFmtId="0" fontId="31" fillId="56" borderId="0" applyNumberFormat="0" applyBorder="0" applyAlignment="0" applyProtection="0">
      <alignment vertical="center"/>
    </xf>
    <xf numFmtId="0" fontId="32" fillId="57" borderId="0" applyNumberFormat="0" applyBorder="0" applyAlignment="0" applyProtection="0">
      <alignment vertical="center"/>
    </xf>
    <xf numFmtId="0" fontId="32" fillId="58" borderId="0" applyNumberFormat="0" applyBorder="0" applyAlignment="0" applyProtection="0">
      <alignment vertical="center"/>
    </xf>
    <xf numFmtId="0" fontId="31" fillId="59" borderId="0" applyNumberFormat="0" applyBorder="0" applyAlignment="0" applyProtection="0">
      <alignment vertical="center"/>
    </xf>
    <xf numFmtId="0" fontId="31" fillId="60" borderId="0" applyNumberFormat="0" applyBorder="0" applyAlignment="0" applyProtection="0">
      <alignment vertical="center"/>
    </xf>
    <xf numFmtId="0" fontId="32" fillId="61" borderId="0" applyNumberFormat="0" applyBorder="0" applyAlignment="0" applyProtection="0">
      <alignment vertical="center"/>
    </xf>
    <xf numFmtId="0" fontId="32" fillId="62" borderId="0" applyNumberFormat="0" applyBorder="0" applyAlignment="0" applyProtection="0">
      <alignment vertical="center"/>
    </xf>
    <xf numFmtId="0" fontId="31" fillId="63" borderId="0" applyNumberFormat="0" applyBorder="0" applyAlignment="0" applyProtection="0">
      <alignment vertical="center"/>
    </xf>
    <xf numFmtId="38" fontId="33" fillId="0" borderId="0" applyFont="0" applyFill="0" applyBorder="0" applyAlignment="0" applyProtection="0"/>
    <xf numFmtId="0" fontId="33" fillId="0" borderId="0"/>
    <xf numFmtId="0" fontId="4" fillId="0" borderId="0">
      <alignment vertical="center"/>
    </xf>
    <xf numFmtId="0" fontId="33" fillId="0" borderId="0"/>
    <xf numFmtId="0" fontId="34" fillId="0" borderId="0"/>
    <xf numFmtId="0" fontId="33" fillId="0" borderId="0"/>
  </cellStyleXfs>
  <cellXfs count="225">
    <xf numFmtId="0" fontId="0" fillId="0" borderId="0" xfId="0">
      <alignment vertical="center"/>
    </xf>
    <xf numFmtId="0" fontId="1" fillId="0" borderId="0" xfId="0" applyFont="1">
      <alignment vertical="center"/>
    </xf>
    <xf numFmtId="0" fontId="1" fillId="0" borderId="0" xfId="0" applyFont="1" applyAlignment="1">
      <alignment vertical="top" wrapText="1"/>
    </xf>
    <xf numFmtId="0" fontId="1" fillId="0" borderId="0" xfId="0" applyFont="1" applyAlignment="1">
      <alignment vertical="top"/>
    </xf>
    <xf numFmtId="0" fontId="1" fillId="0" borderId="0" xfId="0" applyFont="1" applyAlignment="1">
      <alignment horizontal="center" vertical="top" wrapText="1"/>
    </xf>
    <xf numFmtId="0" fontId="0" fillId="0" borderId="0" xfId="0" applyAlignment="1">
      <alignment vertical="top"/>
    </xf>
    <xf numFmtId="0" fontId="1" fillId="2" borderId="1" xfId="0" applyFont="1" applyFill="1" applyBorder="1" applyAlignment="1">
      <alignment vertical="top"/>
    </xf>
    <xf numFmtId="0" fontId="2" fillId="2" borderId="2" xfId="0" applyFont="1" applyFill="1" applyBorder="1" applyAlignment="1">
      <alignment vertical="top"/>
    </xf>
    <xf numFmtId="0" fontId="2" fillId="0" borderId="3" xfId="0" applyFont="1" applyBorder="1" applyAlignment="1">
      <alignment vertical="top"/>
    </xf>
    <xf numFmtId="0" fontId="2" fillId="0" borderId="4" xfId="0" applyFont="1" applyBorder="1" applyAlignment="1">
      <alignment vertical="top"/>
    </xf>
    <xf numFmtId="0" fontId="1" fillId="2" borderId="5" xfId="0" applyFont="1" applyFill="1" applyBorder="1" applyAlignment="1">
      <alignment vertical="top"/>
    </xf>
    <xf numFmtId="0" fontId="2" fillId="2" borderId="6" xfId="0" applyFont="1" applyFill="1" applyBorder="1" applyAlignment="1">
      <alignment vertical="top"/>
    </xf>
    <xf numFmtId="0" fontId="2" fillId="2" borderId="7" xfId="0" applyFont="1" applyFill="1" applyBorder="1" applyAlignment="1">
      <alignment vertical="top" wrapText="1"/>
    </xf>
    <xf numFmtId="0" fontId="2" fillId="2" borderId="8" xfId="0" applyFont="1" applyFill="1" applyBorder="1" applyAlignment="1">
      <alignment vertical="top"/>
    </xf>
    <xf numFmtId="0" fontId="2" fillId="2" borderId="9" xfId="0" applyFont="1" applyFill="1" applyBorder="1" applyAlignment="1">
      <alignment vertical="top" wrapText="1"/>
    </xf>
    <xf numFmtId="0" fontId="2" fillId="2" borderId="9" xfId="0" applyFont="1" applyFill="1" applyBorder="1" applyAlignment="1">
      <alignment vertical="top"/>
    </xf>
    <xf numFmtId="0" fontId="2" fillId="3" borderId="9" xfId="0" applyFont="1" applyFill="1" applyBorder="1" applyAlignment="1">
      <alignment vertical="top" wrapText="1"/>
    </xf>
    <xf numFmtId="0" fontId="1" fillId="2" borderId="1" xfId="0" applyFont="1" applyFill="1" applyBorder="1">
      <alignment vertical="center"/>
    </xf>
    <xf numFmtId="0" fontId="2" fillId="2" borderId="2" xfId="0" applyFont="1" applyFill="1" applyBorder="1">
      <alignment vertical="center"/>
    </xf>
    <xf numFmtId="0" fontId="2" fillId="0" borderId="3" xfId="0" applyFont="1" applyBorder="1">
      <alignment vertical="center"/>
    </xf>
    <xf numFmtId="0" fontId="2" fillId="0" borderId="4" xfId="0" applyFont="1" applyBorder="1">
      <alignment vertical="center"/>
    </xf>
    <xf numFmtId="0" fontId="1" fillId="0" borderId="0" xfId="0" applyFont="1" applyAlignment="1">
      <alignment vertical="center" wrapText="1"/>
    </xf>
    <xf numFmtId="0" fontId="1" fillId="2" borderId="5" xfId="0" applyFont="1" applyFill="1" applyBorder="1">
      <alignment vertical="center"/>
    </xf>
    <xf numFmtId="0" fontId="2" fillId="2" borderId="6" xfId="0" applyFont="1" applyFill="1" applyBorder="1">
      <alignment vertical="center"/>
    </xf>
    <xf numFmtId="0" fontId="2" fillId="2" borderId="7" xfId="0" applyFont="1" applyFill="1" applyBorder="1" applyAlignment="1">
      <alignment vertical="center" wrapText="1"/>
    </xf>
    <xf numFmtId="0" fontId="2" fillId="2" borderId="8" xfId="0" applyFont="1" applyFill="1" applyBorder="1">
      <alignment vertical="center"/>
    </xf>
    <xf numFmtId="0" fontId="2" fillId="2" borderId="9" xfId="0" applyFont="1" applyFill="1" applyBorder="1" applyAlignment="1">
      <alignment vertical="center" wrapText="1"/>
    </xf>
    <xf numFmtId="0" fontId="2" fillId="2" borderId="9" xfId="0" applyFont="1" applyFill="1" applyBorder="1">
      <alignment vertical="center"/>
    </xf>
    <xf numFmtId="0" fontId="1" fillId="0" borderId="9" xfId="0" applyFont="1" applyBorder="1" applyAlignment="1">
      <alignment vertical="center" wrapText="1"/>
    </xf>
    <xf numFmtId="0" fontId="1" fillId="0" borderId="3" xfId="0" applyFont="1" applyBorder="1" applyAlignment="1">
      <alignment vertical="center" wrapText="1"/>
    </xf>
    <xf numFmtId="0" fontId="1" fillId="0" borderId="9" xfId="0" applyFont="1" applyBorder="1">
      <alignment vertical="center"/>
    </xf>
    <xf numFmtId="0" fontId="1" fillId="0" borderId="9" xfId="0" applyFont="1" applyBorder="1" applyAlignment="1">
      <alignment vertical="top" wrapText="1"/>
    </xf>
    <xf numFmtId="0" fontId="1" fillId="4" borderId="9" xfId="0" applyFont="1" applyFill="1" applyBorder="1" applyAlignment="1">
      <alignment vertical="top" wrapText="1"/>
    </xf>
    <xf numFmtId="0" fontId="1" fillId="5" borderId="9" xfId="0" applyFont="1" applyFill="1" applyBorder="1" applyAlignment="1">
      <alignment vertical="top" wrapText="1"/>
    </xf>
    <xf numFmtId="0" fontId="1" fillId="5" borderId="3" xfId="0" applyFont="1" applyFill="1" applyBorder="1" applyAlignment="1">
      <alignment vertical="top" wrapText="1"/>
    </xf>
    <xf numFmtId="0" fontId="1" fillId="5" borderId="9" xfId="0" applyFont="1" applyFill="1" applyBorder="1" applyAlignment="1">
      <alignment vertical="top"/>
    </xf>
    <xf numFmtId="0" fontId="3" fillId="5" borderId="9" xfId="0" applyFont="1" applyFill="1" applyBorder="1" applyAlignment="1">
      <alignment vertical="top" wrapText="1"/>
    </xf>
    <xf numFmtId="0" fontId="1" fillId="0" borderId="0" xfId="0" applyFont="1" applyAlignment="1">
      <alignment horizontal="center" vertical="top"/>
    </xf>
    <xf numFmtId="0" fontId="2" fillId="0" borderId="0" xfId="0" applyFont="1" applyAlignment="1">
      <alignment vertical="top" wrapText="1"/>
    </xf>
    <xf numFmtId="0" fontId="2" fillId="2" borderId="9" xfId="0" applyFont="1" applyFill="1" applyBorder="1" applyAlignment="1">
      <alignment horizontal="center" vertical="top"/>
    </xf>
    <xf numFmtId="0" fontId="1" fillId="0" borderId="0" xfId="0" applyFont="1" applyAlignment="1">
      <alignment horizontal="center" vertical="center"/>
    </xf>
    <xf numFmtId="0" fontId="2" fillId="0" borderId="0" xfId="0" applyFont="1" applyAlignment="1">
      <alignment vertical="center" wrapText="1"/>
    </xf>
    <xf numFmtId="0" fontId="2" fillId="2" borderId="9" xfId="0" applyFont="1" applyFill="1" applyBorder="1" applyAlignment="1">
      <alignment horizontal="center" vertical="center"/>
    </xf>
    <xf numFmtId="0" fontId="1" fillId="0" borderId="9" xfId="0" applyFont="1" applyBorder="1" applyAlignment="1">
      <alignment horizontal="center" vertical="top"/>
    </xf>
    <xf numFmtId="0" fontId="1" fillId="0" borderId="9" xfId="0" applyFont="1" applyBorder="1" applyAlignment="1">
      <alignment horizontal="center" vertical="center"/>
    </xf>
    <xf numFmtId="0" fontId="1" fillId="5" borderId="9" xfId="0" applyFont="1" applyFill="1" applyBorder="1" applyAlignment="1">
      <alignment horizontal="center" vertical="top"/>
    </xf>
    <xf numFmtId="0" fontId="1" fillId="6" borderId="0" xfId="0" applyFont="1" applyFill="1" applyAlignment="1">
      <alignment vertical="top" wrapText="1"/>
    </xf>
    <xf numFmtId="0" fontId="4" fillId="0" borderId="0" xfId="0" applyFont="1" applyAlignment="1">
      <alignment vertical="top"/>
    </xf>
    <xf numFmtId="0" fontId="0" fillId="7" borderId="0" xfId="0" applyFill="1" applyAlignment="1">
      <alignment vertical="top"/>
    </xf>
    <xf numFmtId="0" fontId="2" fillId="4" borderId="3" xfId="0" applyFont="1" applyFill="1" applyBorder="1" applyAlignment="1">
      <alignment vertical="top"/>
    </xf>
    <xf numFmtId="0" fontId="2" fillId="4" borderId="4" xfId="0" applyFont="1" applyFill="1" applyBorder="1" applyAlignment="1">
      <alignment vertical="top"/>
    </xf>
    <xf numFmtId="0" fontId="1" fillId="4" borderId="3" xfId="0" applyFont="1" applyFill="1" applyBorder="1" applyAlignment="1">
      <alignment vertical="top" wrapText="1"/>
    </xf>
    <xf numFmtId="0" fontId="1" fillId="4" borderId="9" xfId="0" applyFont="1" applyFill="1" applyBorder="1" applyAlignment="1">
      <alignment vertical="top"/>
    </xf>
    <xf numFmtId="0" fontId="1" fillId="8" borderId="9" xfId="0" applyFont="1" applyFill="1" applyBorder="1" applyAlignment="1">
      <alignment vertical="top" wrapText="1"/>
    </xf>
    <xf numFmtId="0" fontId="1" fillId="8" borderId="3" xfId="0" applyFont="1" applyFill="1" applyBorder="1" applyAlignment="1">
      <alignment vertical="top" wrapText="1"/>
    </xf>
    <xf numFmtId="0" fontId="1" fillId="8" borderId="9" xfId="0" applyFont="1" applyFill="1" applyBorder="1" applyAlignment="1">
      <alignment vertical="top"/>
    </xf>
    <xf numFmtId="0" fontId="1" fillId="9" borderId="9" xfId="0" applyFont="1" applyFill="1" applyBorder="1" applyAlignment="1">
      <alignment vertical="top" wrapText="1"/>
    </xf>
    <xf numFmtId="0" fontId="1" fillId="9" borderId="3" xfId="0" applyFont="1" applyFill="1" applyBorder="1" applyAlignment="1">
      <alignment vertical="top" wrapText="1"/>
    </xf>
    <xf numFmtId="0" fontId="1" fillId="9" borderId="9" xfId="0" applyFont="1" applyFill="1" applyBorder="1" applyAlignment="1">
      <alignment vertical="top"/>
    </xf>
    <xf numFmtId="0" fontId="1" fillId="0" borderId="3" xfId="0" applyFont="1" applyBorder="1" applyAlignment="1">
      <alignment vertical="top" wrapText="1"/>
    </xf>
    <xf numFmtId="0" fontId="1" fillId="10" borderId="3" xfId="0" applyFont="1" applyFill="1" applyBorder="1" applyAlignment="1">
      <alignment vertical="top" wrapText="1"/>
    </xf>
    <xf numFmtId="0" fontId="1" fillId="11" borderId="9" xfId="0" applyFont="1" applyFill="1" applyBorder="1" applyAlignment="1">
      <alignment vertical="top" wrapText="1"/>
    </xf>
    <xf numFmtId="0" fontId="1" fillId="11" borderId="3" xfId="0" applyFont="1" applyFill="1" applyBorder="1" applyAlignment="1">
      <alignment vertical="top" wrapText="1"/>
    </xf>
    <xf numFmtId="0" fontId="1" fillId="11" borderId="9" xfId="0" applyFont="1" applyFill="1" applyBorder="1" applyAlignment="1">
      <alignment vertical="top"/>
    </xf>
    <xf numFmtId="0" fontId="1" fillId="4" borderId="9" xfId="0" applyFont="1" applyFill="1" applyBorder="1" applyAlignment="1">
      <alignment horizontal="center" vertical="top"/>
    </xf>
    <xf numFmtId="0" fontId="1" fillId="8" borderId="9" xfId="0" applyFont="1" applyFill="1" applyBorder="1" applyAlignment="1">
      <alignment horizontal="center" vertical="top"/>
    </xf>
    <xf numFmtId="0" fontId="1" fillId="9" borderId="9" xfId="0" applyFont="1" applyFill="1" applyBorder="1" applyAlignment="1">
      <alignment horizontal="center" vertical="top"/>
    </xf>
    <xf numFmtId="0" fontId="3" fillId="4" borderId="9" xfId="0" applyFont="1" applyFill="1" applyBorder="1" applyAlignment="1">
      <alignment vertical="top" wrapText="1"/>
    </xf>
    <xf numFmtId="0" fontId="3" fillId="0" borderId="0" xfId="0" applyFont="1" applyAlignment="1">
      <alignment vertical="top" wrapText="1"/>
    </xf>
    <xf numFmtId="0" fontId="1" fillId="11" borderId="9" xfId="0" applyFont="1" applyFill="1" applyBorder="1" applyAlignment="1">
      <alignment horizontal="center" vertical="top"/>
    </xf>
    <xf numFmtId="0" fontId="1" fillId="7" borderId="0" xfId="0" applyFont="1" applyFill="1" applyAlignment="1">
      <alignment vertical="top" wrapText="1"/>
    </xf>
    <xf numFmtId="0" fontId="1" fillId="12" borderId="9" xfId="0" applyFont="1" applyFill="1" applyBorder="1" applyAlignment="1">
      <alignment vertical="top" wrapText="1"/>
    </xf>
    <xf numFmtId="0" fontId="1" fillId="12" borderId="3" xfId="0" applyFont="1" applyFill="1" applyBorder="1" applyAlignment="1">
      <alignment vertical="top" wrapText="1"/>
    </xf>
    <xf numFmtId="0" fontId="1" fillId="12" borderId="9" xfId="0" applyFont="1" applyFill="1" applyBorder="1" applyAlignment="1">
      <alignment vertical="top"/>
    </xf>
    <xf numFmtId="0" fontId="3" fillId="13" borderId="9" xfId="0" applyFont="1" applyFill="1" applyBorder="1" applyAlignment="1">
      <alignment vertical="top" wrapText="1"/>
    </xf>
    <xf numFmtId="0" fontId="1" fillId="14" borderId="3" xfId="0" applyFont="1" applyFill="1" applyBorder="1" applyAlignment="1">
      <alignment vertical="top" wrapText="1"/>
    </xf>
    <xf numFmtId="0" fontId="1" fillId="15" borderId="9" xfId="0" applyFont="1" applyFill="1" applyBorder="1" applyAlignment="1">
      <alignment vertical="top" wrapText="1"/>
    </xf>
    <xf numFmtId="0" fontId="1" fillId="15" borderId="3" xfId="0" applyFont="1" applyFill="1" applyBorder="1" applyAlignment="1">
      <alignment vertical="top" wrapText="1"/>
    </xf>
    <xf numFmtId="0" fontId="1" fillId="15" borderId="9" xfId="0" applyFont="1" applyFill="1" applyBorder="1" applyAlignment="1">
      <alignment vertical="top"/>
    </xf>
    <xf numFmtId="0" fontId="1" fillId="16" borderId="9" xfId="0" applyFont="1" applyFill="1" applyBorder="1" applyAlignment="1">
      <alignment vertical="top" wrapText="1"/>
    </xf>
    <xf numFmtId="0" fontId="1" fillId="12" borderId="9" xfId="0" applyFont="1" applyFill="1" applyBorder="1" applyAlignment="1">
      <alignment horizontal="center" vertical="top"/>
    </xf>
    <xf numFmtId="0" fontId="1" fillId="15" borderId="9" xfId="0" applyFont="1" applyFill="1" applyBorder="1" applyAlignment="1">
      <alignment horizontal="center" vertical="top"/>
    </xf>
    <xf numFmtId="0" fontId="1" fillId="17" borderId="9" xfId="0" applyFont="1" applyFill="1" applyBorder="1" applyAlignment="1">
      <alignment vertical="top" wrapText="1"/>
    </xf>
    <xf numFmtId="0" fontId="3" fillId="17" borderId="9" xfId="0" applyFont="1" applyFill="1" applyBorder="1" applyAlignment="1">
      <alignment vertical="top" wrapText="1"/>
    </xf>
    <xf numFmtId="0" fontId="1" fillId="18" borderId="9" xfId="0" applyFont="1" applyFill="1" applyBorder="1" applyAlignment="1">
      <alignment vertical="top" wrapText="1"/>
    </xf>
    <xf numFmtId="0" fontId="4" fillId="7" borderId="0" xfId="0" applyFont="1" applyFill="1" applyAlignment="1">
      <alignment vertical="top"/>
    </xf>
    <xf numFmtId="0" fontId="1" fillId="4" borderId="0" xfId="0" applyFont="1" applyFill="1" applyAlignment="1">
      <alignment vertical="top" wrapText="1"/>
    </xf>
    <xf numFmtId="0" fontId="1" fillId="0" borderId="9" xfId="0" applyFont="1" applyBorder="1" applyAlignment="1">
      <alignment vertical="top"/>
    </xf>
    <xf numFmtId="0" fontId="1" fillId="4" borderId="0" xfId="0" applyFont="1" applyFill="1" applyAlignment="1">
      <alignment vertical="top"/>
    </xf>
    <xf numFmtId="0" fontId="3" fillId="4" borderId="9" xfId="0" applyFont="1" applyFill="1" applyBorder="1" applyAlignment="1">
      <alignment vertical="top"/>
    </xf>
    <xf numFmtId="0" fontId="3" fillId="0" borderId="9" xfId="0" applyFont="1" applyBorder="1" applyAlignment="1">
      <alignment vertical="top" wrapText="1"/>
    </xf>
    <xf numFmtId="0" fontId="1" fillId="7" borderId="0" xfId="0" applyFont="1" applyFill="1" applyAlignment="1">
      <alignment vertical="top"/>
    </xf>
    <xf numFmtId="0" fontId="3" fillId="0" borderId="9" xfId="0" applyFont="1" applyBorder="1" applyAlignment="1">
      <alignment vertical="top"/>
    </xf>
    <xf numFmtId="0" fontId="1" fillId="4" borderId="0" xfId="0" applyFont="1" applyFill="1">
      <alignment vertical="center"/>
    </xf>
    <xf numFmtId="0" fontId="1" fillId="16" borderId="0" xfId="0" applyFont="1" applyFill="1">
      <alignment vertical="center"/>
    </xf>
    <xf numFmtId="0" fontId="3" fillId="19" borderId="9" xfId="0" applyFont="1" applyFill="1" applyBorder="1" applyAlignment="1">
      <alignment vertical="top" wrapText="1"/>
    </xf>
    <xf numFmtId="0" fontId="1" fillId="17" borderId="9" xfId="0" applyFont="1" applyFill="1" applyBorder="1" applyAlignment="1">
      <alignment vertical="top"/>
    </xf>
    <xf numFmtId="0" fontId="0" fillId="0" borderId="0" xfId="0" applyAlignment="1">
      <alignment vertical="top" wrapText="1"/>
    </xf>
    <xf numFmtId="0" fontId="1" fillId="0" borderId="9" xfId="0" applyFont="1" applyBorder="1" applyAlignment="1">
      <alignment horizontal="center" vertical="top" wrapText="1"/>
    </xf>
    <xf numFmtId="0" fontId="1" fillId="20" borderId="9" xfId="0" applyFont="1" applyFill="1" applyBorder="1" applyAlignment="1">
      <alignment vertical="top" wrapText="1"/>
    </xf>
    <xf numFmtId="0" fontId="1" fillId="20" borderId="3" xfId="0" applyFont="1" applyFill="1" applyBorder="1" applyAlignment="1">
      <alignment vertical="top" wrapText="1"/>
    </xf>
    <xf numFmtId="0" fontId="1" fillId="20" borderId="9" xfId="0" applyFont="1" applyFill="1" applyBorder="1" applyAlignment="1">
      <alignment vertical="top"/>
    </xf>
    <xf numFmtId="0" fontId="1" fillId="21" borderId="9" xfId="0" applyFont="1" applyFill="1" applyBorder="1" applyAlignment="1">
      <alignment vertical="top" wrapText="1"/>
    </xf>
    <xf numFmtId="0" fontId="1" fillId="21" borderId="3" xfId="0" applyFont="1" applyFill="1" applyBorder="1" applyAlignment="1">
      <alignment vertical="top" wrapText="1"/>
    </xf>
    <xf numFmtId="0" fontId="1" fillId="21" borderId="9" xfId="0" applyFont="1" applyFill="1" applyBorder="1" applyAlignment="1">
      <alignment vertical="top"/>
    </xf>
    <xf numFmtId="0" fontId="3" fillId="11" borderId="9" xfId="0" applyFont="1" applyFill="1" applyBorder="1" applyAlignment="1">
      <alignment vertical="top" wrapText="1"/>
    </xf>
    <xf numFmtId="0" fontId="1" fillId="22" borderId="9" xfId="0" applyFont="1" applyFill="1" applyBorder="1" applyAlignment="1">
      <alignment vertical="top" wrapText="1"/>
    </xf>
    <xf numFmtId="0" fontId="1" fillId="22" borderId="3" xfId="0" applyFont="1" applyFill="1" applyBorder="1" applyAlignment="1">
      <alignment vertical="top" wrapText="1"/>
    </xf>
    <xf numFmtId="0" fontId="1" fillId="22" borderId="9" xfId="0" applyFont="1" applyFill="1" applyBorder="1" applyAlignment="1">
      <alignment vertical="top"/>
    </xf>
    <xf numFmtId="0" fontId="1" fillId="23" borderId="9" xfId="0" applyFont="1" applyFill="1" applyBorder="1" applyAlignment="1">
      <alignment vertical="top" wrapText="1"/>
    </xf>
    <xf numFmtId="0" fontId="1" fillId="24" borderId="9" xfId="0" applyFont="1" applyFill="1" applyBorder="1" applyAlignment="1">
      <alignment vertical="top" wrapText="1"/>
    </xf>
    <xf numFmtId="0" fontId="1" fillId="24" borderId="3" xfId="0" applyFont="1" applyFill="1" applyBorder="1" applyAlignment="1">
      <alignment vertical="top" wrapText="1"/>
    </xf>
    <xf numFmtId="0" fontId="1" fillId="24" borderId="9" xfId="0" applyFont="1" applyFill="1" applyBorder="1" applyAlignment="1">
      <alignment vertical="top"/>
    </xf>
    <xf numFmtId="0" fontId="1" fillId="20" borderId="9" xfId="0" applyFont="1" applyFill="1" applyBorder="1" applyAlignment="1">
      <alignment horizontal="center" vertical="top"/>
    </xf>
    <xf numFmtId="0" fontId="1" fillId="21" borderId="9" xfId="0" applyFont="1" applyFill="1" applyBorder="1" applyAlignment="1">
      <alignment horizontal="center" vertical="top"/>
    </xf>
    <xf numFmtId="0" fontId="1" fillId="22" borderId="9" xfId="0" applyFont="1" applyFill="1" applyBorder="1" applyAlignment="1">
      <alignment horizontal="center" vertical="top"/>
    </xf>
    <xf numFmtId="0" fontId="3" fillId="22" borderId="9" xfId="0" applyFont="1" applyFill="1" applyBorder="1" applyAlignment="1">
      <alignment vertical="top" wrapText="1"/>
    </xf>
    <xf numFmtId="0" fontId="1" fillId="24" borderId="9" xfId="0" applyFont="1" applyFill="1" applyBorder="1" applyAlignment="1">
      <alignment horizontal="center" vertical="top"/>
    </xf>
    <xf numFmtId="0" fontId="5" fillId="0" borderId="9" xfId="0" applyFont="1" applyBorder="1" applyAlignment="1">
      <alignment vertical="top" wrapText="1"/>
    </xf>
    <xf numFmtId="0" fontId="2" fillId="0" borderId="3" xfId="0" applyFont="1" applyBorder="1" applyAlignment="1">
      <alignment vertical="top" wrapText="1"/>
    </xf>
    <xf numFmtId="58" fontId="1" fillId="0" borderId="9" xfId="0" applyNumberFormat="1" applyFont="1" applyBorder="1" applyAlignment="1">
      <alignment vertical="top" wrapText="1"/>
    </xf>
    <xf numFmtId="0" fontId="2" fillId="0" borderId="9" xfId="0" applyFont="1" applyBorder="1" applyAlignment="1">
      <alignment vertical="top" wrapText="1"/>
    </xf>
    <xf numFmtId="0" fontId="1" fillId="25" borderId="9" xfId="0" applyFont="1" applyFill="1" applyBorder="1" applyAlignment="1">
      <alignment vertical="top" wrapText="1"/>
    </xf>
    <xf numFmtId="0" fontId="1" fillId="26" borderId="9" xfId="0" applyFont="1" applyFill="1" applyBorder="1" applyAlignment="1">
      <alignment vertical="top" wrapText="1"/>
    </xf>
    <xf numFmtId="0" fontId="1" fillId="27" borderId="9" xfId="0" applyFont="1" applyFill="1" applyBorder="1" applyAlignment="1">
      <alignment vertical="top" wrapText="1"/>
    </xf>
    <xf numFmtId="0" fontId="6" fillId="0" borderId="0" xfId="0" applyFont="1" applyAlignment="1">
      <alignment vertical="top"/>
    </xf>
    <xf numFmtId="0" fontId="1" fillId="28" borderId="10" xfId="0" applyFont="1" applyFill="1" applyBorder="1" applyAlignment="1">
      <alignment vertical="top" wrapText="1"/>
    </xf>
    <xf numFmtId="0" fontId="1" fillId="0" borderId="10" xfId="0" applyFont="1" applyBorder="1" applyAlignment="1">
      <alignment horizontal="center" vertical="center" wrapText="1"/>
    </xf>
    <xf numFmtId="0" fontId="1" fillId="10" borderId="10" xfId="0" applyFont="1" applyFill="1" applyBorder="1" applyAlignment="1">
      <alignment horizontal="center" vertical="center" wrapText="1"/>
    </xf>
    <xf numFmtId="0" fontId="7" fillId="10" borderId="10" xfId="0" applyFont="1" applyFill="1" applyBorder="1" applyAlignment="1">
      <alignment horizontal="center" vertical="center" wrapText="1"/>
    </xf>
    <xf numFmtId="0" fontId="5" fillId="17" borderId="10" xfId="0" applyFont="1" applyFill="1" applyBorder="1" applyAlignment="1">
      <alignment horizontal="center" vertical="center" wrapText="1"/>
    </xf>
    <xf numFmtId="0" fontId="1" fillId="29" borderId="10" xfId="0" applyFont="1" applyFill="1" applyBorder="1" applyAlignment="1">
      <alignment vertical="top" wrapText="1"/>
    </xf>
    <xf numFmtId="0" fontId="0" fillId="29" borderId="10" xfId="0" applyFill="1" applyBorder="1" applyAlignment="1">
      <alignment vertical="top" wrapText="1"/>
    </xf>
    <xf numFmtId="0" fontId="1" fillId="30" borderId="10" xfId="0" applyFont="1" applyFill="1" applyBorder="1" applyAlignment="1">
      <alignment vertical="top" wrapText="1"/>
    </xf>
    <xf numFmtId="0" fontId="7" fillId="30" borderId="10" xfId="0" applyFont="1" applyFill="1" applyBorder="1" applyAlignment="1">
      <alignment vertical="top" wrapText="1"/>
    </xf>
    <xf numFmtId="0" fontId="3" fillId="26" borderId="9" xfId="0" applyFont="1" applyFill="1" applyBorder="1" applyAlignment="1">
      <alignment vertical="top" wrapText="1"/>
    </xf>
    <xf numFmtId="0" fontId="5" fillId="10" borderId="9" xfId="0" applyFont="1" applyFill="1" applyBorder="1" applyAlignment="1">
      <alignment vertical="top" wrapText="1"/>
    </xf>
    <xf numFmtId="0" fontId="3" fillId="14" borderId="9" xfId="0" applyFont="1" applyFill="1" applyBorder="1" applyAlignment="1">
      <alignment vertical="top" wrapText="1"/>
    </xf>
    <xf numFmtId="0" fontId="5" fillId="0" borderId="9" xfId="0" applyFont="1" applyBorder="1" applyAlignment="1">
      <alignment vertical="top"/>
    </xf>
    <xf numFmtId="0" fontId="8" fillId="7" borderId="0" xfId="0" applyFont="1" applyFill="1" applyAlignment="1">
      <alignment vertical="top"/>
    </xf>
    <xf numFmtId="0" fontId="9" fillId="7" borderId="0" xfId="0" applyFont="1" applyFill="1" applyAlignment="1">
      <alignment vertical="top" wrapText="1"/>
    </xf>
    <xf numFmtId="0" fontId="1" fillId="11" borderId="9" xfId="51" applyFont="1" applyFill="1" applyBorder="1" applyAlignment="1">
      <alignment vertical="top" wrapText="1"/>
    </xf>
    <xf numFmtId="0" fontId="1" fillId="11" borderId="9" xfId="51" applyFont="1" applyFill="1" applyBorder="1" applyAlignment="1">
      <alignment vertical="top"/>
    </xf>
    <xf numFmtId="0" fontId="10" fillId="0" borderId="9" xfId="0" applyFont="1" applyBorder="1" applyAlignment="1">
      <alignment vertical="top" wrapText="1"/>
    </xf>
    <xf numFmtId="0" fontId="1" fillId="11" borderId="9" xfId="51" applyFont="1" applyFill="1" applyBorder="1" applyAlignment="1">
      <alignment horizontal="center" vertical="top"/>
    </xf>
    <xf numFmtId="0" fontId="3" fillId="0" borderId="0" xfId="0" applyFont="1" applyAlignment="1">
      <alignment vertical="top"/>
    </xf>
    <xf numFmtId="0" fontId="2" fillId="2" borderId="1" xfId="0" applyFont="1" applyFill="1" applyBorder="1" applyAlignment="1">
      <alignment horizontal="center" vertical="top"/>
    </xf>
    <xf numFmtId="0" fontId="1" fillId="2" borderId="1" xfId="0" applyFont="1" applyFill="1" applyBorder="1" applyAlignment="1">
      <alignment horizontal="center" vertical="top"/>
    </xf>
    <xf numFmtId="0" fontId="2" fillId="2" borderId="1" xfId="0" applyFont="1" applyFill="1" applyBorder="1" applyAlignment="1">
      <alignment horizontal="center" vertical="top" wrapText="1"/>
    </xf>
    <xf numFmtId="0" fontId="2" fillId="2" borderId="9" xfId="0" applyFont="1" applyFill="1" applyBorder="1" applyAlignment="1">
      <alignment horizontal="center" vertical="top" wrapText="1"/>
    </xf>
    <xf numFmtId="0" fontId="2" fillId="2" borderId="7" xfId="0" applyFont="1" applyFill="1" applyBorder="1" applyAlignment="1">
      <alignment horizontal="center" vertical="top" wrapText="1"/>
    </xf>
    <xf numFmtId="0" fontId="2" fillId="2" borderId="7" xfId="0" applyFont="1" applyFill="1" applyBorder="1" applyAlignment="1">
      <alignment horizontal="center" vertical="top"/>
    </xf>
    <xf numFmtId="0" fontId="1" fillId="0" borderId="11" xfId="0" applyFont="1" applyBorder="1" applyAlignment="1">
      <alignment vertical="top"/>
    </xf>
    <xf numFmtId="0" fontId="1" fillId="0" borderId="11" xfId="0" applyFont="1" applyBorder="1" applyAlignment="1">
      <alignment vertical="top" wrapText="1"/>
    </xf>
    <xf numFmtId="0" fontId="1" fillId="0" borderId="11" xfId="0" applyFont="1" applyBorder="1" applyAlignment="1">
      <alignment horizontal="center" vertical="top"/>
    </xf>
    <xf numFmtId="0" fontId="1" fillId="0" borderId="12" xfId="0" applyFont="1" applyBorder="1" applyAlignment="1">
      <alignment vertical="top"/>
    </xf>
    <xf numFmtId="0" fontId="1" fillId="0" borderId="13" xfId="0" applyFont="1" applyBorder="1" applyAlignment="1">
      <alignment vertical="top"/>
    </xf>
    <xf numFmtId="0" fontId="1" fillId="0" borderId="14" xfId="0" applyFont="1" applyBorder="1" applyAlignment="1">
      <alignment vertical="top"/>
    </xf>
    <xf numFmtId="0" fontId="1" fillId="0" borderId="12" xfId="0" applyFont="1" applyBorder="1" applyAlignment="1">
      <alignment vertical="top" wrapText="1"/>
    </xf>
    <xf numFmtId="0" fontId="1" fillId="0" borderId="12" xfId="0" applyFont="1" applyBorder="1" applyAlignment="1">
      <alignment horizontal="center" vertical="top"/>
    </xf>
    <xf numFmtId="0" fontId="1" fillId="4" borderId="13" xfId="0" applyFont="1" applyFill="1" applyBorder="1" applyAlignment="1">
      <alignment vertical="top"/>
    </xf>
    <xf numFmtId="0" fontId="1" fillId="0" borderId="14" xfId="0" applyFont="1" applyBorder="1" applyAlignment="1">
      <alignment vertical="top" wrapText="1"/>
    </xf>
    <xf numFmtId="0" fontId="1" fillId="31" borderId="13" xfId="0" applyFont="1" applyFill="1" applyBorder="1" applyAlignment="1">
      <alignment vertical="top"/>
    </xf>
    <xf numFmtId="0" fontId="1" fillId="0" borderId="13" xfId="0" applyFont="1" applyBorder="1" applyAlignment="1">
      <alignment vertical="top" wrapText="1"/>
    </xf>
    <xf numFmtId="0" fontId="1" fillId="0" borderId="13" xfId="0" applyFont="1" applyBorder="1" applyAlignment="1">
      <alignment horizontal="center" vertical="top"/>
    </xf>
    <xf numFmtId="0" fontId="1" fillId="32" borderId="13" xfId="0" applyFont="1" applyFill="1" applyBorder="1" applyAlignment="1">
      <alignment vertical="top"/>
    </xf>
    <xf numFmtId="0" fontId="10" fillId="0" borderId="13" xfId="0" applyFont="1" applyBorder="1" applyAlignment="1">
      <alignment vertical="top"/>
    </xf>
    <xf numFmtId="0" fontId="10" fillId="0" borderId="14" xfId="0" applyFont="1" applyBorder="1" applyAlignment="1">
      <alignment vertical="top"/>
    </xf>
    <xf numFmtId="0" fontId="3" fillId="0" borderId="13" xfId="0" applyFont="1" applyBorder="1" applyAlignment="1">
      <alignment vertical="top" wrapText="1"/>
    </xf>
    <xf numFmtId="0" fontId="1" fillId="0" borderId="13" xfId="6" applyFont="1" applyBorder="1" applyProtection="1">
      <alignment vertical="top"/>
    </xf>
    <xf numFmtId="0" fontId="10" fillId="0" borderId="13" xfId="6" applyFont="1" applyBorder="1" applyProtection="1">
      <alignment vertical="top"/>
    </xf>
    <xf numFmtId="0" fontId="1" fillId="0" borderId="15" xfId="0" applyFont="1" applyBorder="1" applyAlignment="1">
      <alignment vertical="top"/>
    </xf>
    <xf numFmtId="0" fontId="1" fillId="0" borderId="15" xfId="6" applyFont="1" applyBorder="1" applyProtection="1">
      <alignment vertical="top"/>
    </xf>
    <xf numFmtId="0" fontId="3" fillId="0" borderId="15" xfId="6" applyFont="1" applyBorder="1" applyProtection="1">
      <alignment vertical="top"/>
    </xf>
    <xf numFmtId="0" fontId="3" fillId="0" borderId="15" xfId="0" applyFont="1" applyBorder="1" applyAlignment="1">
      <alignment vertical="top"/>
    </xf>
    <xf numFmtId="0" fontId="1" fillId="0" borderId="15" xfId="0" applyFont="1" applyBorder="1" applyAlignment="1">
      <alignment vertical="top" wrapText="1"/>
    </xf>
    <xf numFmtId="0" fontId="1" fillId="0" borderId="15" xfId="0" applyFont="1" applyBorder="1" applyAlignment="1">
      <alignment horizontal="center" vertical="top"/>
    </xf>
    <xf numFmtId="0" fontId="11" fillId="2" borderId="1" xfId="0" applyFont="1" applyFill="1" applyBorder="1" applyAlignment="1">
      <alignment horizontal="center" vertical="top"/>
    </xf>
    <xf numFmtId="0" fontId="9" fillId="2" borderId="1" xfId="0" applyFont="1" applyFill="1" applyBorder="1" applyAlignment="1">
      <alignment horizontal="center" vertical="top"/>
    </xf>
    <xf numFmtId="0" fontId="11" fillId="2" borderId="1" xfId="0" applyFont="1" applyFill="1" applyBorder="1" applyAlignment="1">
      <alignment horizontal="center" vertical="top" wrapText="1"/>
    </xf>
    <xf numFmtId="0" fontId="11" fillId="2" borderId="9" xfId="0" applyFont="1" applyFill="1" applyBorder="1" applyAlignment="1">
      <alignment horizontal="center" vertical="top" wrapText="1"/>
    </xf>
    <xf numFmtId="0" fontId="11" fillId="2" borderId="7" xfId="0" applyFont="1" applyFill="1" applyBorder="1" applyAlignment="1">
      <alignment horizontal="center" vertical="top" wrapText="1"/>
    </xf>
    <xf numFmtId="0" fontId="11" fillId="2" borderId="7" xfId="0" applyFont="1" applyFill="1" applyBorder="1" applyAlignment="1">
      <alignment horizontal="center" vertical="top"/>
    </xf>
    <xf numFmtId="0" fontId="9" fillId="0" borderId="11" xfId="0" applyFont="1" applyBorder="1" applyAlignment="1">
      <alignment vertical="top"/>
    </xf>
    <xf numFmtId="0" fontId="9" fillId="0" borderId="11" xfId="0" applyFont="1" applyBorder="1" applyAlignment="1">
      <alignment vertical="top" wrapText="1"/>
    </xf>
    <xf numFmtId="0" fontId="9" fillId="0" borderId="11" xfId="0" applyFont="1" applyBorder="1" applyAlignment="1">
      <alignment horizontal="center" vertical="top"/>
    </xf>
    <xf numFmtId="0" fontId="9" fillId="0" borderId="12" xfId="0" applyFont="1" applyBorder="1" applyAlignment="1">
      <alignment vertical="top"/>
    </xf>
    <xf numFmtId="0" fontId="9" fillId="0" borderId="13" xfId="0" applyFont="1" applyBorder="1" applyAlignment="1">
      <alignment vertical="top"/>
    </xf>
    <xf numFmtId="0" fontId="9" fillId="0" borderId="14" xfId="0" applyFont="1" applyBorder="1" applyAlignment="1">
      <alignment vertical="top"/>
    </xf>
    <xf numFmtId="0" fontId="9" fillId="0" borderId="12" xfId="0" applyFont="1" applyBorder="1" applyAlignment="1">
      <alignment vertical="top" wrapText="1"/>
    </xf>
    <xf numFmtId="0" fontId="9" fillId="0" borderId="12" xfId="0" applyFont="1" applyBorder="1" applyAlignment="1">
      <alignment horizontal="center" vertical="top"/>
    </xf>
    <xf numFmtId="0" fontId="9" fillId="4" borderId="13" xfId="0" applyFont="1" applyFill="1" applyBorder="1" applyAlignment="1">
      <alignment vertical="top"/>
    </xf>
    <xf numFmtId="0" fontId="9" fillId="0" borderId="14" xfId="0" applyFont="1" applyBorder="1" applyAlignment="1">
      <alignment vertical="top" wrapText="1"/>
    </xf>
    <xf numFmtId="0" fontId="9" fillId="31" borderId="13" xfId="0" applyFont="1" applyFill="1" applyBorder="1" applyAlignment="1">
      <alignment vertical="top"/>
    </xf>
    <xf numFmtId="0" fontId="9" fillId="0" borderId="13" xfId="0" applyFont="1" applyBorder="1" applyAlignment="1">
      <alignment vertical="top" wrapText="1"/>
    </xf>
    <xf numFmtId="0" fontId="9" fillId="0" borderId="13" xfId="0" applyFont="1" applyBorder="1" applyAlignment="1">
      <alignment horizontal="center" vertical="top"/>
    </xf>
    <xf numFmtId="0" fontId="9" fillId="32" borderId="13" xfId="0" applyFont="1" applyFill="1" applyBorder="1" applyAlignment="1">
      <alignment vertical="top"/>
    </xf>
    <xf numFmtId="0" fontId="3" fillId="0" borderId="13" xfId="0" applyFont="1" applyBorder="1" applyAlignment="1">
      <alignment vertical="top"/>
    </xf>
    <xf numFmtId="0" fontId="9" fillId="0" borderId="13" xfId="6" applyFont="1" applyBorder="1" applyProtection="1">
      <alignment vertical="top"/>
    </xf>
    <xf numFmtId="0" fontId="9" fillId="0" borderId="15" xfId="0" applyFont="1" applyBorder="1" applyAlignment="1">
      <alignment vertical="top"/>
    </xf>
    <xf numFmtId="0" fontId="9" fillId="0" borderId="15" xfId="6" applyFont="1" applyBorder="1" applyProtection="1">
      <alignment vertical="top"/>
    </xf>
    <xf numFmtId="0" fontId="9" fillId="0" borderId="15" xfId="0" applyFont="1" applyBorder="1" applyAlignment="1">
      <alignment vertical="top" wrapText="1"/>
    </xf>
    <xf numFmtId="0" fontId="9" fillId="0" borderId="15" xfId="0" applyFont="1" applyBorder="1" applyAlignment="1">
      <alignment horizontal="center" vertical="top"/>
    </xf>
    <xf numFmtId="58" fontId="1" fillId="0" borderId="13" xfId="0" applyNumberFormat="1" applyFont="1" applyBorder="1" applyAlignment="1">
      <alignment vertical="top"/>
    </xf>
    <xf numFmtId="58" fontId="3" fillId="0" borderId="13" xfId="0" applyNumberFormat="1" applyFont="1" applyBorder="1" applyAlignment="1">
      <alignment vertical="top"/>
    </xf>
    <xf numFmtId="58" fontId="3" fillId="0" borderId="15" xfId="0" applyNumberFormat="1" applyFont="1" applyBorder="1" applyAlignment="1">
      <alignment vertical="top"/>
    </xf>
    <xf numFmtId="0" fontId="9" fillId="0" borderId="0" xfId="0" applyFont="1" applyAlignment="1">
      <alignment horizontal="center" vertical="top"/>
    </xf>
    <xf numFmtId="0" fontId="9" fillId="4" borderId="0" xfId="0" applyFont="1" applyFill="1" applyAlignment="1">
      <alignment vertical="top"/>
    </xf>
    <xf numFmtId="0" fontId="9" fillId="0" borderId="0" xfId="0" applyFont="1" applyAlignment="1">
      <alignment vertical="top"/>
    </xf>
    <xf numFmtId="58" fontId="9" fillId="0" borderId="13" xfId="0" applyNumberFormat="1" applyFont="1" applyBorder="1" applyAlignment="1">
      <alignment vertical="top"/>
    </xf>
    <xf numFmtId="58" fontId="9" fillId="0" borderId="15" xfId="0" applyNumberFormat="1" applyFont="1" applyBorder="1" applyAlignment="1">
      <alignment vertical="top"/>
    </xf>
    <xf numFmtId="0" fontId="1" fillId="0" borderId="0" xfId="0" applyFont="1" applyAlignment="1">
      <alignment horizontal="center"/>
    </xf>
    <xf numFmtId="178" fontId="1" fillId="0" borderId="0" xfId="0" applyNumberFormat="1" applyFont="1" applyAlignment="1">
      <alignment vertical="top"/>
    </xf>
    <xf numFmtId="49" fontId="1" fillId="0" borderId="0" xfId="0" applyNumberFormat="1" applyFont="1" applyAlignment="1">
      <alignment horizontal="right" vertical="top"/>
    </xf>
    <xf numFmtId="179" fontId="2" fillId="2" borderId="9" xfId="54" applyNumberFormat="1" applyFont="1" applyFill="1" applyBorder="1" applyAlignment="1">
      <alignment horizontal="center"/>
    </xf>
    <xf numFmtId="178" fontId="2" fillId="2" borderId="9" xfId="54" applyNumberFormat="1" applyFont="1" applyFill="1" applyBorder="1" applyAlignment="1">
      <alignment horizontal="center"/>
    </xf>
    <xf numFmtId="49" fontId="2" fillId="2" borderId="9" xfId="54" applyNumberFormat="1" applyFont="1" applyFill="1" applyBorder="1" applyAlignment="1">
      <alignment horizontal="center"/>
    </xf>
    <xf numFmtId="0" fontId="2" fillId="2" borderId="9" xfId="54" applyFont="1" applyFill="1" applyBorder="1" applyAlignment="1">
      <alignment horizontal="center"/>
    </xf>
    <xf numFmtId="0" fontId="2" fillId="2" borderId="9" xfId="54" applyFont="1" applyFill="1" applyBorder="1" applyAlignment="1">
      <alignment horizontal="center" wrapText="1"/>
    </xf>
    <xf numFmtId="178" fontId="1" fillId="0" borderId="9" xfId="0" applyNumberFormat="1" applyFont="1" applyBorder="1" applyAlignment="1">
      <alignment vertical="top"/>
    </xf>
    <xf numFmtId="49" fontId="1" fillId="0" borderId="9" xfId="0" applyNumberFormat="1" applyFont="1" applyBorder="1" applyAlignment="1">
      <alignment horizontal="right" vertical="top"/>
    </xf>
    <xf numFmtId="0" fontId="12" fillId="0" borderId="9" xfId="0" applyFont="1" applyBorder="1" applyAlignment="1">
      <alignment vertical="top" wrapText="1"/>
    </xf>
    <xf numFmtId="178" fontId="1" fillId="0" borderId="9" xfId="0" applyNumberFormat="1" applyFont="1" applyBorder="1" applyAlignment="1">
      <alignment vertical="top" wrapText="1"/>
    </xf>
    <xf numFmtId="178" fontId="1" fillId="4" borderId="9" xfId="0" applyNumberFormat="1" applyFont="1" applyFill="1" applyBorder="1" applyAlignment="1">
      <alignment vertical="top"/>
    </xf>
    <xf numFmtId="49" fontId="1" fillId="4" borderId="9" xfId="0" applyNumberFormat="1" applyFont="1" applyFill="1" applyBorder="1" applyAlignment="1">
      <alignment horizontal="right" vertical="top"/>
    </xf>
    <xf numFmtId="0" fontId="1" fillId="5" borderId="9" xfId="0" applyFont="1" applyFill="1" applyBorder="1" applyAlignment="1" quotePrefix="1">
      <alignment vertical="top" wrapText="1"/>
    </xf>
    <xf numFmtId="0" fontId="1" fillId="0" borderId="9" xfId="0" applyFont="1" applyBorder="1" applyAlignment="1" quotePrefix="1">
      <alignment vertical="top" wrapText="1"/>
    </xf>
    <xf numFmtId="0" fontId="1" fillId="4" borderId="9" xfId="0" applyFont="1" applyFill="1" applyBorder="1" applyAlignment="1" quotePrefix="1">
      <alignment vertical="top" wrapText="1"/>
    </xf>
    <xf numFmtId="0" fontId="3" fillId="0" borderId="9" xfId="0" applyFont="1" applyBorder="1" applyAlignment="1" quotePrefix="1">
      <alignment vertical="top" wrapText="1"/>
    </xf>
    <xf numFmtId="0" fontId="1" fillId="11" borderId="9" xfId="0" applyFont="1" applyFill="1" applyBorder="1" applyAlignment="1" quotePrefix="1">
      <alignment vertical="top" wrapText="1"/>
    </xf>
    <xf numFmtId="0" fontId="1" fillId="15" borderId="9" xfId="0" applyFont="1" applyFill="1" applyBorder="1" applyAlignment="1" quotePrefix="1">
      <alignment vertical="top" wrapText="1"/>
    </xf>
  </cellXfs>
  <cellStyles count="55">
    <cellStyle name="Normal" xfId="0" builtinId="0"/>
    <cellStyle name="Comma" xfId="1" builtinId="3"/>
    <cellStyle name="Currency" xfId="2" builtinId="4"/>
    <cellStyle name="Percent" xfId="3" builtinId="5"/>
    <cellStyle name="Comma [0]" xfId="4" builtinId="6"/>
    <cellStyle name="Currency [0]" xfId="5" builtinId="7"/>
    <cellStyle name="Link" xfId="6" builtinId="8"/>
    <cellStyle name="Followed Hyperlink" xfId="7" builtinId="9"/>
    <cellStyle name="Note" xfId="8" builtinId="10"/>
    <cellStyle name="Warning Text" xfId="9" builtinId="11"/>
    <cellStyle name="Title" xfId="10" builtinId="15"/>
    <cellStyle name="CExplanatory Text" xfId="11" builtinId="53"/>
    <cellStyle name="Heading 1" xfId="12" builtinId="16"/>
    <cellStyle name="Heading 2" xfId="13" builtinId="17"/>
    <cellStyle name="Heading 3" xfId="14" builtinId="18"/>
    <cellStyle name="Heading 4" xfId="15" builtinId="19"/>
    <cellStyle name="Input" xfId="16" builtinId="20"/>
    <cellStyle name="Output" xfId="17" builtinId="21"/>
    <cellStyle name="Calculation" xfId="18" builtinId="22"/>
    <cellStyle name="Check Cell" xfId="19" builtinId="23"/>
    <cellStyle name="Linked Cell" xfId="20" builtinId="24"/>
    <cellStyle name="Total" xfId="21" builtinId="25"/>
    <cellStyle name="Good" xfId="22" builtinId="26"/>
    <cellStyle name="Bad" xfId="23" builtinId="27"/>
    <cellStyle name="Neutral" xfId="24" builtinId="28"/>
    <cellStyle name="Accent1" xfId="25" builtinId="29"/>
    <cellStyle name="20% - Accent1" xfId="26" builtinId="30"/>
    <cellStyle name="40% - Accent1" xfId="27" builtinId="31"/>
    <cellStyle name="60% - Accent1" xfId="28" builtinId="32"/>
    <cellStyle name="Accent2" xfId="29" builtinId="33"/>
    <cellStyle name="20% - Accent2" xfId="30" builtinId="34"/>
    <cellStyle name="40% - Accent2" xfId="31" builtinId="35"/>
    <cellStyle name="60% - Accent2" xfId="32" builtinId="36"/>
    <cellStyle name="Accent3" xfId="33" builtinId="37"/>
    <cellStyle name="20% - Accent3" xfId="34" builtinId="38"/>
    <cellStyle name="40% - Accent3" xfId="35" builtinId="39"/>
    <cellStyle name="60% - Accent3" xfId="36" builtinId="40"/>
    <cellStyle name="Accent4" xfId="37" builtinId="41"/>
    <cellStyle name="20% - Accent4" xfId="38" builtinId="42"/>
    <cellStyle name="40% - Accent4" xfId="39" builtinId="43"/>
    <cellStyle name="60% - Accent4" xfId="40" builtinId="44"/>
    <cellStyle name="Accent5" xfId="41" builtinId="45"/>
    <cellStyle name="20% - Accent5" xfId="42" builtinId="46"/>
    <cellStyle name="40% - Accent5" xfId="43" builtinId="47"/>
    <cellStyle name="60% - Accent5" xfId="44" builtinId="48"/>
    <cellStyle name="Accent6" xfId="45" builtinId="49"/>
    <cellStyle name="20% - Accent6" xfId="46" builtinId="50"/>
    <cellStyle name="40% - Accent6" xfId="47" builtinId="51"/>
    <cellStyle name="60% - Accent6" xfId="48" builtinId="52"/>
    <cellStyle name="桁区切り 2" xfId="49"/>
    <cellStyle name="標準 2" xfId="50"/>
    <cellStyle name="標準 2 2" xfId="51"/>
    <cellStyle name="標準 3" xfId="52"/>
    <cellStyle name="標準 4" xfId="53"/>
    <cellStyle name="標準_別紙2_新CFIテーブル定義" xfId="54"/>
  </cellStyles>
  <tableStyles count="0" defaultTableStyle="TableStyleMedium2" defaultPivotStyle="PivotStyleLight16"/>
  <colors>
    <mruColors>
      <color rgb="000000FF"/>
      <color rgb="009966FF"/>
      <color rgb="0000FFFF"/>
      <color rgb="00ABFFAB"/>
      <color rgb="00FF00FF"/>
      <color rgb="00FFCCFF"/>
      <color rgb="0099CCFF"/>
      <color rgb="00FCD5B4"/>
      <color rgb="00008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4" Type="http://schemas.openxmlformats.org/officeDocument/2006/relationships/styles" Target="styles.xml"/><Relationship Id="rId13" Type="http://schemas.openxmlformats.org/officeDocument/2006/relationships/sharedStrings" Target="sharedStrings.xml"/><Relationship Id="rId12" Type="http://schemas.openxmlformats.org/officeDocument/2006/relationships/theme" Target="theme/theme1.xml"/><Relationship Id="rId11" Type="http://schemas.openxmlformats.org/officeDocument/2006/relationships/externalLink" Target="externalLinks/externalLink1.xml"/><Relationship Id="rId10" Type="http://schemas.openxmlformats.org/officeDocument/2006/relationships/worksheet" Target="worksheets/sheet10.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3</xdr:col>
          <xdr:colOff>1524000</xdr:colOff>
          <xdr:row>0</xdr:row>
          <xdr:rowOff>57150</xdr:rowOff>
        </xdr:from>
        <xdr:to>
          <xdr:col>5</xdr:col>
          <xdr:colOff>533400</xdr:colOff>
          <xdr:row>1</xdr:row>
          <xdr:rowOff>107950</xdr:rowOff>
        </xdr:to>
        <xdr:sp macro="[0]!ThisWorkbook.writeSql">
          <xdr:nvSpPr>
            <xdr:cNvPr id="3223" name="Button 151" hidden="1">
              <a:extLst>
                <a:ext uri="{63B3BB69-23CF-44E3-9099-C40C66FF867C}">
                  <a14:compatExt spid="_x0000_s3223"/>
                </a:ext>
              </a:extLst>
            </xdr:cNvPr>
            <xdr:cNvSpPr/>
          </xdr:nvSpPr>
          <xdr:spPr>
            <a:xfrm>
              <a:off x="863600" y="57150"/>
              <a:ext cx="2673350" cy="382905"/>
            </a:xfrm>
            <a:prstGeom prst="rect">
              <a:avLst/>
            </a:prstGeom>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MS PGothic" panose="020B0600070205080204" charset="-128"/>
                  <a:ea typeface="MS PGothic" panose="020B0600070205080204" charset="-128"/>
                </a:rPr>
                <a:t>ＳＱＬファイル出力</a:t>
              </a:r>
              <a:endParaRPr lang="ja-JP" altLang="en-US" sz="9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30</xdr:row>
          <xdr:rowOff>88900</xdr:rowOff>
        </xdr:from>
        <xdr:to>
          <xdr:col>5</xdr:col>
          <xdr:colOff>666750</xdr:colOff>
          <xdr:row>31</xdr:row>
          <xdr:rowOff>133350</xdr:rowOff>
        </xdr:to>
        <xdr:sp macro="[0]!ThisWorkbook.writeSql">
          <xdr:nvSpPr>
            <xdr:cNvPr id="3226" name="Button 154" hidden="1">
              <a:extLst>
                <a:ext uri="{63B3BB69-23CF-44E3-9099-C40C66FF867C}">
                  <a14:compatExt spid="_x0000_s3226"/>
                </a:ext>
              </a:extLst>
            </xdr:cNvPr>
            <xdr:cNvSpPr/>
          </xdr:nvSpPr>
          <xdr:spPr>
            <a:xfrm>
              <a:off x="996950" y="4850130"/>
              <a:ext cx="2673350" cy="187325"/>
            </a:xfrm>
            <a:prstGeom prst="rect">
              <a:avLst/>
            </a:prstGeom>
          </xdr:spPr>
          <xdr:txBody>
            <a:bodyPr vertOverflow="clip" wrap="square" lIns="36576" tIns="22860" rIns="36576" bIns="22860" anchor="ctr" upright="1"/>
            <a:lstStyle/>
            <a:p>
              <a:pPr algn="ctr" rtl="0">
                <a:defRPr sz="1000"/>
              </a:pPr>
              <a:r>
                <a:rPr lang="ja-JP" altLang="en-US" sz="900" b="0" i="0" u="none" strike="noStrike" baseline="0">
                  <a:solidFill>
                    <a:srgbClr val="000000"/>
                  </a:solidFill>
                  <a:latin typeface="MS PGothic" panose="020B0600070205080204" charset="-128"/>
                  <a:ea typeface="MS PGothic" panose="020B0600070205080204" charset="-128"/>
                </a:rPr>
                <a:t>SQL file output</a:t>
              </a:r>
              <a:endParaRPr lang="ja-JP" altLang="en-US" sz="900" b="0" i="0" u="none" strike="noStrike" baseline="0">
                <a:solidFill>
                  <a:srgbClr val="000000"/>
                </a:solidFill>
                <a:latin typeface="MS PGothic" panose="020B0600070205080204" charset="-128"/>
                <a:ea typeface="MS PGothic" panose="020B0600070205080204" charset="-128"/>
              </a:endParaRPr>
            </a:p>
          </xdr:txBody>
        </xdr:sp>
        <xdr:clientData fPrintsWithSheet="0"/>
      </xdr:twoCellAnchor>
    </mc:Choice>
    <mc:Fallback/>
  </mc:AlternateContent>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10</xdr:col>
      <xdr:colOff>990600</xdr:colOff>
      <xdr:row>42</xdr:row>
      <xdr:rowOff>19050</xdr:rowOff>
    </xdr:from>
    <xdr:to>
      <xdr:col>13</xdr:col>
      <xdr:colOff>114300</xdr:colOff>
      <xdr:row>46</xdr:row>
      <xdr:rowOff>38100</xdr:rowOff>
    </xdr:to>
    <xdr:sp>
      <xdr:nvSpPr>
        <xdr:cNvPr id="2" name="四角形吹き出し 1"/>
        <xdr:cNvSpPr/>
      </xdr:nvSpPr>
      <xdr:spPr>
        <a:xfrm>
          <a:off x="10185400" y="20993100"/>
          <a:ext cx="2000250" cy="590550"/>
        </a:xfrm>
        <a:prstGeom prst="wedgeRectCallout">
          <a:avLst>
            <a:gd name="adj1" fmla="val -83233"/>
            <a:gd name="adj2" fmla="val -3443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latin typeface="MS Gothic" panose="020B0609070205080204" pitchFamily="1" charset="-128"/>
              <a:ea typeface="MS Gothic" panose="020B0609070205080204" pitchFamily="1" charset="-128"/>
            </a:rPr>
            <a:t>リクエスト内容とカラムを紐づけるため、別途マッピングファイルを用意する。</a:t>
          </a:r>
          <a:endParaRPr kumimoji="1" lang="ja-JP" altLang="en-US" sz="900">
            <a:latin typeface="MS Gothic" panose="020B0609070205080204" pitchFamily="1" charset="-128"/>
            <a:ea typeface="MS Gothic" panose="020B0609070205080204" pitchFamily="1" charset="-128"/>
          </a:endParaRPr>
        </a:p>
      </xdr:txBody>
    </xdr:sp>
    <xdr:clientData/>
  </xdr:twoCellAnchor>
  <xdr:twoCellAnchor>
    <xdr:from>
      <xdr:col>10</xdr:col>
      <xdr:colOff>781050</xdr:colOff>
      <xdr:row>102</xdr:row>
      <xdr:rowOff>47625</xdr:rowOff>
    </xdr:from>
    <xdr:to>
      <xdr:col>12</xdr:col>
      <xdr:colOff>1209675</xdr:colOff>
      <xdr:row>106</xdr:row>
      <xdr:rowOff>66675</xdr:rowOff>
    </xdr:to>
    <xdr:sp>
      <xdr:nvSpPr>
        <xdr:cNvPr id="3" name="四角形吹き出し 2"/>
        <xdr:cNvSpPr/>
      </xdr:nvSpPr>
      <xdr:spPr>
        <a:xfrm>
          <a:off x="9975850" y="37223700"/>
          <a:ext cx="2003425" cy="590550"/>
        </a:xfrm>
        <a:prstGeom prst="wedgeRectCallout">
          <a:avLst>
            <a:gd name="adj1" fmla="val -83233"/>
            <a:gd name="adj2" fmla="val -3443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900">
              <a:latin typeface="MS Gothic" panose="020B0609070205080204" pitchFamily="1" charset="-128"/>
              <a:ea typeface="MS Gothic" panose="020B0609070205080204" pitchFamily="1" charset="-128"/>
            </a:rPr>
            <a:t>リクエスト内容とカラムを紐づけるため、別途マッピングファイルを用意する。</a:t>
          </a:r>
          <a:endParaRPr kumimoji="1" lang="ja-JP" altLang="en-US" sz="900">
            <a:latin typeface="MS Gothic" panose="020B0609070205080204" pitchFamily="1" charset="-128"/>
            <a:ea typeface="MS Gothic" panose="020B0609070205080204" pitchFamily="1" charset="-128"/>
          </a:endParaRPr>
        </a:p>
      </xdr:txBody>
    </xdr:sp>
    <xdr:clientData/>
  </xdr:twoCellAnchor>
  <xdr:twoCellAnchor>
    <xdr:from>
      <xdr:col>30</xdr:col>
      <xdr:colOff>990600</xdr:colOff>
      <xdr:row>42</xdr:row>
      <xdr:rowOff>19050</xdr:rowOff>
    </xdr:from>
    <xdr:to>
      <xdr:col>33</xdr:col>
      <xdr:colOff>114300</xdr:colOff>
      <xdr:row>46</xdr:row>
      <xdr:rowOff>38100</xdr:rowOff>
    </xdr:to>
    <xdr:sp>
      <xdr:nvSpPr>
        <xdr:cNvPr id="4" name="四角形吹き出し 1"/>
        <xdr:cNvSpPr/>
      </xdr:nvSpPr>
      <xdr:spPr>
        <a:xfrm>
          <a:off x="26619200" y="20993100"/>
          <a:ext cx="2000250" cy="590550"/>
        </a:xfrm>
        <a:prstGeom prst="wedgeRectCallout">
          <a:avLst>
            <a:gd name="adj1" fmla="val -83233"/>
            <a:gd name="adj2" fmla="val -3443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kumimoji="1" lang="ja-JP" altLang="en-US" sz="900">
              <a:latin typeface="MS Gothic" panose="020B0609070205080204" pitchFamily="1" charset="-128"/>
              <a:ea typeface="MS Gothic" panose="020B0609070205080204" pitchFamily="1" charset="-128"/>
            </a:rPr>
            <a:t>Prepare a separate mapping file to link request content and columns.</a:t>
          </a:r>
          <a:endParaRPr kumimoji="1" lang="ja-JP" altLang="en-US" sz="900">
            <a:latin typeface="MS Gothic" panose="020B0609070205080204" pitchFamily="1" charset="-128"/>
            <a:ea typeface="MS Gothic" panose="020B0609070205080204" pitchFamily="1" charset="-128"/>
          </a:endParaRPr>
        </a:p>
      </xdr:txBody>
    </xdr:sp>
    <xdr:clientData/>
  </xdr:twoCellAnchor>
  <xdr:twoCellAnchor>
    <xdr:from>
      <xdr:col>30</xdr:col>
      <xdr:colOff>781050</xdr:colOff>
      <xdr:row>102</xdr:row>
      <xdr:rowOff>47625</xdr:rowOff>
    </xdr:from>
    <xdr:to>
      <xdr:col>32</xdr:col>
      <xdr:colOff>1209675</xdr:colOff>
      <xdr:row>106</xdr:row>
      <xdr:rowOff>66675</xdr:rowOff>
    </xdr:to>
    <xdr:sp>
      <xdr:nvSpPr>
        <xdr:cNvPr id="5" name="四角形吹き出し 2"/>
        <xdr:cNvSpPr/>
      </xdr:nvSpPr>
      <xdr:spPr>
        <a:xfrm>
          <a:off x="26409650" y="37223700"/>
          <a:ext cx="2003425" cy="590550"/>
        </a:xfrm>
        <a:prstGeom prst="wedgeRectCallout">
          <a:avLst>
            <a:gd name="adj1" fmla="val -83233"/>
            <a:gd name="adj2" fmla="val -3443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defPPr>
            <a:defRPr lang="en-US">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kumimoji="1" lang="ja-JP" altLang="en-US" sz="900">
              <a:latin typeface="MS Gothic" panose="020B0609070205080204" pitchFamily="1" charset="-128"/>
              <a:ea typeface="MS Gothic" panose="020B0609070205080204" pitchFamily="1" charset="-128"/>
            </a:rPr>
            <a:t>Prepare a separate mapping file to link request content and columns.</a:t>
          </a:r>
          <a:endParaRPr kumimoji="1" lang="ja-JP" altLang="en-US" sz="900">
            <a:latin typeface="MS Gothic" panose="020B0609070205080204" pitchFamily="1" charset="-128"/>
            <a:ea typeface="MS Gothic" panose="020B0609070205080204" pitchFamily="1" charset="-128"/>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ITSJ\OneDrive\Desktop\ewqe&#27231;&#33021;&#20181;&#27096;&#26360;_&#12487;&#12540;&#12479;&#12505;&#12540;&#12473;&#35373;&#35336;_SO.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表紙"/>
      <sheetName val="変更履歴"/>
      <sheetName val="テーブル一覧"/>
      <sheetName val="テーブル定義_マスタ"/>
      <sheetName val="テーブル定義_Q連携"/>
      <sheetName val="テーブル定義_申込情報"/>
      <sheetName val="テーブル定義_在庫情報"/>
      <sheetName val="テーブル定義_キュー管理"/>
      <sheetName val="テーブル定義_IIJ連携"/>
      <sheetName val="テーブル定義_実行制御"/>
      <sheetName val="設定"/>
      <sheetName val="DDL出力"/>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theme>
</file>

<file path=xl/worksheets/_rels/sheet2.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pageSetUpPr fitToPage="1"/>
  </sheetPr>
  <dimension ref="A1:H336"/>
  <sheetViews>
    <sheetView showGridLines="0" workbookViewId="0">
      <pane ySplit="1" topLeftCell="A2" activePane="bottomLeft" state="frozenSplit"/>
      <selection/>
      <selection pane="bottomLeft" activeCell="E63" sqref="E63"/>
    </sheetView>
  </sheetViews>
  <sheetFormatPr defaultColWidth="9.33333333333333" defaultRowHeight="11.25" outlineLevelCol="7"/>
  <cols>
    <col min="1" max="1" width="4.77777777777778" style="3" customWidth="1"/>
    <col min="2" max="2" width="12.7777777777778" style="212" customWidth="1"/>
    <col min="3" max="3" width="6.77777777777778" style="213" customWidth="1"/>
    <col min="4" max="4" width="32.7777777777778" style="3" customWidth="1"/>
    <col min="5" max="5" width="80.7777777777778" style="2" customWidth="1"/>
    <col min="6" max="6" width="8.77777777777778" style="3" customWidth="1"/>
    <col min="7" max="7" width="40.7777777777778" style="2" customWidth="1"/>
    <col min="8" max="16384" width="9.33333333333333" style="3"/>
  </cols>
  <sheetData>
    <row r="1" s="211" customFormat="1" spans="1:7">
      <c r="A1" s="214" t="s">
        <v>0</v>
      </c>
      <c r="B1" s="215" t="s">
        <v>1</v>
      </c>
      <c r="C1" s="216" t="s">
        <v>2</v>
      </c>
      <c r="D1" s="217" t="s">
        <v>3</v>
      </c>
      <c r="E1" s="218" t="s">
        <v>4</v>
      </c>
      <c r="F1" s="218" t="s">
        <v>5</v>
      </c>
      <c r="G1" s="218" t="s">
        <v>6</v>
      </c>
    </row>
    <row r="2" spans="1:7">
      <c r="A2" s="87">
        <f t="shared" ref="A2:A32" si="0">ROW()-1</f>
        <v>1</v>
      </c>
      <c r="B2" s="219"/>
      <c r="C2" s="220" t="s">
        <v>7</v>
      </c>
      <c r="D2" s="87" t="s">
        <v>8</v>
      </c>
      <c r="E2" s="31" t="s">
        <v>9</v>
      </c>
      <c r="F2" s="87"/>
      <c r="G2" s="31"/>
    </row>
    <row r="3" spans="1:7">
      <c r="A3" s="87">
        <f t="shared" si="0"/>
        <v>2</v>
      </c>
      <c r="B3" s="219"/>
      <c r="C3" s="220"/>
      <c r="D3" s="31"/>
      <c r="E3" s="31"/>
      <c r="F3" s="87"/>
      <c r="G3" s="31"/>
    </row>
    <row r="4" spans="1:7">
      <c r="A4" s="87">
        <f t="shared" si="0"/>
        <v>3</v>
      </c>
      <c r="B4" s="219"/>
      <c r="C4" s="220"/>
      <c r="D4" s="31"/>
      <c r="E4" s="31"/>
      <c r="F4" s="87"/>
      <c r="G4" s="31"/>
    </row>
    <row r="5" spans="1:7">
      <c r="A5" s="87">
        <f t="shared" si="0"/>
        <v>4</v>
      </c>
      <c r="B5" s="219"/>
      <c r="C5" s="220"/>
      <c r="D5" s="31"/>
      <c r="E5" s="31"/>
      <c r="F5" s="87"/>
      <c r="G5" s="31"/>
    </row>
    <row r="6" spans="1:7">
      <c r="A6" s="87">
        <f t="shared" si="0"/>
        <v>5</v>
      </c>
      <c r="B6" s="219"/>
      <c r="C6" s="220"/>
      <c r="D6" s="31"/>
      <c r="E6" s="31"/>
      <c r="F6" s="87"/>
      <c r="G6" s="31"/>
    </row>
    <row r="7" spans="1:7">
      <c r="A7" s="87">
        <f t="shared" si="0"/>
        <v>6</v>
      </c>
      <c r="B7" s="219"/>
      <c r="C7" s="220"/>
      <c r="D7" s="31"/>
      <c r="E7" s="31"/>
      <c r="F7" s="87"/>
      <c r="G7" s="31"/>
    </row>
    <row r="8" spans="1:7">
      <c r="A8" s="87">
        <f t="shared" si="0"/>
        <v>7</v>
      </c>
      <c r="B8" s="219"/>
      <c r="C8" s="220"/>
      <c r="D8" s="31"/>
      <c r="E8" s="31"/>
      <c r="F8" s="87"/>
      <c r="G8" s="31"/>
    </row>
    <row r="9" spans="1:7">
      <c r="A9" s="87">
        <f t="shared" si="0"/>
        <v>8</v>
      </c>
      <c r="B9" s="219"/>
      <c r="C9" s="220"/>
      <c r="D9" s="31"/>
      <c r="E9" s="31"/>
      <c r="F9" s="87"/>
      <c r="G9" s="31"/>
    </row>
    <row r="10" spans="1:7">
      <c r="A10" s="87">
        <f t="shared" si="0"/>
        <v>9</v>
      </c>
      <c r="B10" s="219"/>
      <c r="C10" s="220"/>
      <c r="D10" s="31"/>
      <c r="E10" s="31"/>
      <c r="F10" s="87"/>
      <c r="G10" s="31"/>
    </row>
    <row r="11" spans="1:7">
      <c r="A11" s="87">
        <f t="shared" si="0"/>
        <v>10</v>
      </c>
      <c r="B11" s="219"/>
      <c r="C11" s="220"/>
      <c r="D11" s="31"/>
      <c r="E11" s="31"/>
      <c r="F11" s="87"/>
      <c r="G11" s="31"/>
    </row>
    <row r="12" spans="1:7">
      <c r="A12" s="87">
        <f t="shared" si="0"/>
        <v>11</v>
      </c>
      <c r="B12" s="219"/>
      <c r="C12" s="220"/>
      <c r="D12" s="31"/>
      <c r="E12" s="31"/>
      <c r="F12" s="87"/>
      <c r="G12" s="31"/>
    </row>
    <row r="13" spans="1:7">
      <c r="A13" s="87">
        <f t="shared" si="0"/>
        <v>12</v>
      </c>
      <c r="B13" s="219"/>
      <c r="C13" s="220"/>
      <c r="D13" s="31"/>
      <c r="E13" s="31"/>
      <c r="F13" s="87"/>
      <c r="G13" s="31"/>
    </row>
    <row r="14" spans="1:7">
      <c r="A14" s="87">
        <f t="shared" si="0"/>
        <v>13</v>
      </c>
      <c r="B14" s="219"/>
      <c r="C14" s="220"/>
      <c r="D14" s="31"/>
      <c r="E14" s="31"/>
      <c r="F14" s="87"/>
      <c r="G14" s="31"/>
    </row>
    <row r="15" spans="1:7">
      <c r="A15" s="87">
        <f t="shared" si="0"/>
        <v>14</v>
      </c>
      <c r="B15" s="219"/>
      <c r="C15" s="220"/>
      <c r="D15" s="87"/>
      <c r="E15" s="31"/>
      <c r="F15" s="87"/>
      <c r="G15" s="31"/>
    </row>
    <row r="16" spans="1:7">
      <c r="A16" s="87">
        <f t="shared" si="0"/>
        <v>15</v>
      </c>
      <c r="B16" s="219"/>
      <c r="C16" s="220"/>
      <c r="D16" s="31"/>
      <c r="E16" s="31"/>
      <c r="F16" s="87"/>
      <c r="G16" s="31"/>
    </row>
    <row r="17" spans="1:7">
      <c r="A17" s="87">
        <f t="shared" si="0"/>
        <v>16</v>
      </c>
      <c r="B17" s="219"/>
      <c r="C17" s="220"/>
      <c r="D17" s="31"/>
      <c r="E17" s="31"/>
      <c r="F17" s="87"/>
      <c r="G17" s="31"/>
    </row>
    <row r="18" spans="1:7">
      <c r="A18" s="87">
        <f t="shared" si="0"/>
        <v>17</v>
      </c>
      <c r="B18" s="219"/>
      <c r="C18" s="220"/>
      <c r="D18" s="31"/>
      <c r="E18" s="31"/>
      <c r="F18" s="87"/>
      <c r="G18" s="31"/>
    </row>
    <row r="19" spans="1:7">
      <c r="A19" s="87">
        <f t="shared" si="0"/>
        <v>18</v>
      </c>
      <c r="B19" s="219"/>
      <c r="C19" s="220"/>
      <c r="D19" s="31"/>
      <c r="E19" s="31"/>
      <c r="F19" s="87"/>
      <c r="G19" s="31"/>
    </row>
    <row r="20" spans="1:7">
      <c r="A20" s="87">
        <f t="shared" si="0"/>
        <v>19</v>
      </c>
      <c r="B20" s="219"/>
      <c r="C20" s="220"/>
      <c r="D20" s="31"/>
      <c r="E20" s="31"/>
      <c r="F20" s="87"/>
      <c r="G20" s="31"/>
    </row>
    <row r="21" spans="1:7">
      <c r="A21" s="87">
        <f t="shared" si="0"/>
        <v>20</v>
      </c>
      <c r="B21" s="219"/>
      <c r="C21" s="220"/>
      <c r="D21" s="31"/>
      <c r="E21" s="31"/>
      <c r="F21" s="87"/>
      <c r="G21" s="31"/>
    </row>
    <row r="22" spans="1:7">
      <c r="A22" s="87">
        <f t="shared" si="0"/>
        <v>21</v>
      </c>
      <c r="B22" s="219"/>
      <c r="C22" s="220"/>
      <c r="D22" s="31"/>
      <c r="E22" s="31"/>
      <c r="F22" s="87"/>
      <c r="G22" s="31"/>
    </row>
    <row r="23" spans="1:7">
      <c r="A23" s="87">
        <f t="shared" si="0"/>
        <v>22</v>
      </c>
      <c r="B23" s="219"/>
      <c r="C23" s="220"/>
      <c r="D23" s="31"/>
      <c r="E23" s="31"/>
      <c r="F23" s="87"/>
      <c r="G23" s="31"/>
    </row>
    <row r="24" spans="1:7">
      <c r="A24" s="87">
        <f t="shared" si="0"/>
        <v>23</v>
      </c>
      <c r="B24" s="219"/>
      <c r="C24" s="220"/>
      <c r="D24" s="31"/>
      <c r="E24" s="31"/>
      <c r="F24" s="87"/>
      <c r="G24" s="31"/>
    </row>
    <row r="25" spans="1:7">
      <c r="A25" s="87">
        <f t="shared" si="0"/>
        <v>24</v>
      </c>
      <c r="B25" s="219"/>
      <c r="C25" s="220"/>
      <c r="D25" s="31"/>
      <c r="E25" s="31"/>
      <c r="F25" s="87"/>
      <c r="G25" s="31"/>
    </row>
    <row r="26" spans="1:7">
      <c r="A26" s="87">
        <f t="shared" si="0"/>
        <v>25</v>
      </c>
      <c r="B26" s="219"/>
      <c r="C26" s="220"/>
      <c r="D26" s="31"/>
      <c r="E26" s="31"/>
      <c r="F26" s="87"/>
      <c r="G26" s="31"/>
    </row>
    <row r="27" spans="1:7">
      <c r="A27" s="87">
        <f t="shared" si="0"/>
        <v>26</v>
      </c>
      <c r="B27" s="219"/>
      <c r="C27" s="220"/>
      <c r="D27" s="31"/>
      <c r="E27" s="31"/>
      <c r="F27" s="87"/>
      <c r="G27" s="31"/>
    </row>
    <row r="28" spans="1:7">
      <c r="A28" s="87">
        <f t="shared" si="0"/>
        <v>27</v>
      </c>
      <c r="B28" s="219"/>
      <c r="C28" s="220"/>
      <c r="D28" s="31"/>
      <c r="E28" s="31"/>
      <c r="F28" s="87"/>
      <c r="G28" s="31"/>
    </row>
    <row r="29" spans="1:7">
      <c r="A29" s="87">
        <f t="shared" si="0"/>
        <v>28</v>
      </c>
      <c r="B29" s="219"/>
      <c r="C29" s="220"/>
      <c r="D29" s="31"/>
      <c r="E29" s="31"/>
      <c r="F29" s="87"/>
      <c r="G29" s="31"/>
    </row>
    <row r="30" spans="1:7">
      <c r="A30" s="87">
        <f t="shared" si="0"/>
        <v>29</v>
      </c>
      <c r="B30" s="219"/>
      <c r="C30" s="220"/>
      <c r="D30" s="31"/>
      <c r="E30" s="31"/>
      <c r="F30" s="87"/>
      <c r="G30" s="31"/>
    </row>
    <row r="31" spans="1:7">
      <c r="A31" s="87">
        <f t="shared" si="0"/>
        <v>30</v>
      </c>
      <c r="B31" s="219"/>
      <c r="C31" s="220"/>
      <c r="D31" s="31"/>
      <c r="E31" s="31"/>
      <c r="F31" s="87"/>
      <c r="G31" s="31"/>
    </row>
    <row r="32" spans="1:7">
      <c r="A32" s="87">
        <f t="shared" si="0"/>
        <v>31</v>
      </c>
      <c r="B32" s="219"/>
      <c r="C32" s="220"/>
      <c r="D32" s="31"/>
      <c r="E32" s="31"/>
      <c r="F32" s="87"/>
      <c r="G32" s="31"/>
    </row>
    <row r="33" spans="1:7">
      <c r="A33" s="87">
        <f t="shared" ref="A33:A156" si="1">ROW()-1</f>
        <v>32</v>
      </c>
      <c r="B33" s="219"/>
      <c r="C33" s="220"/>
      <c r="D33" s="31"/>
      <c r="E33" s="31"/>
      <c r="F33" s="87"/>
      <c r="G33" s="31"/>
    </row>
    <row r="34" spans="1:7">
      <c r="A34" s="87">
        <f t="shared" si="1"/>
        <v>33</v>
      </c>
      <c r="B34" s="219"/>
      <c r="C34" s="220"/>
      <c r="D34" s="31"/>
      <c r="E34" s="31"/>
      <c r="F34" s="87"/>
      <c r="G34" s="31"/>
    </row>
    <row r="35" spans="1:7">
      <c r="A35" s="87">
        <f t="shared" si="1"/>
        <v>34</v>
      </c>
      <c r="B35" s="219"/>
      <c r="C35" s="220"/>
      <c r="D35" s="31"/>
      <c r="E35" s="31"/>
      <c r="F35" s="87"/>
      <c r="G35" s="31"/>
    </row>
    <row r="36" spans="1:7">
      <c r="A36" s="87">
        <f t="shared" si="1"/>
        <v>35</v>
      </c>
      <c r="B36" s="219"/>
      <c r="C36" s="220"/>
      <c r="D36" s="31"/>
      <c r="E36" s="31"/>
      <c r="F36" s="87"/>
      <c r="G36" s="31"/>
    </row>
    <row r="37" spans="1:7">
      <c r="A37" s="87">
        <f t="shared" si="1"/>
        <v>36</v>
      </c>
      <c r="B37" s="219"/>
      <c r="C37" s="220"/>
      <c r="D37" s="31"/>
      <c r="E37" s="31"/>
      <c r="F37" s="87"/>
      <c r="G37" s="31"/>
    </row>
    <row r="38" spans="1:7">
      <c r="A38" s="87">
        <f t="shared" si="1"/>
        <v>37</v>
      </c>
      <c r="B38" s="219"/>
      <c r="C38" s="220"/>
      <c r="D38" s="31"/>
      <c r="E38" s="31"/>
      <c r="F38" s="87"/>
      <c r="G38" s="221"/>
    </row>
    <row r="39" spans="1:7">
      <c r="A39" s="87">
        <f t="shared" si="1"/>
        <v>38</v>
      </c>
      <c r="B39" s="219"/>
      <c r="C39" s="220"/>
      <c r="D39" s="31"/>
      <c r="E39" s="31"/>
      <c r="F39" s="87"/>
      <c r="G39" s="31"/>
    </row>
    <row r="40" spans="1:7">
      <c r="A40" s="87">
        <f t="shared" si="1"/>
        <v>39</v>
      </c>
      <c r="B40" s="219"/>
      <c r="C40" s="220"/>
      <c r="D40" s="31"/>
      <c r="E40" s="31"/>
      <c r="F40" s="87"/>
      <c r="G40" s="31"/>
    </row>
    <row r="41" spans="1:7">
      <c r="A41" s="87">
        <f t="shared" si="1"/>
        <v>40</v>
      </c>
      <c r="B41" s="219"/>
      <c r="C41" s="220"/>
      <c r="D41" s="31"/>
      <c r="E41" s="31"/>
      <c r="F41" s="87"/>
      <c r="G41" s="31"/>
    </row>
    <row r="42" spans="1:7">
      <c r="A42" s="87">
        <f t="shared" si="1"/>
        <v>41</v>
      </c>
      <c r="B42" s="219"/>
      <c r="C42" s="220"/>
      <c r="D42" s="31"/>
      <c r="E42" s="31"/>
      <c r="F42" s="87"/>
      <c r="G42" s="31"/>
    </row>
    <row r="43" spans="1:7">
      <c r="A43" s="87">
        <f t="shared" si="1"/>
        <v>42</v>
      </c>
      <c r="B43" s="219"/>
      <c r="C43" s="220"/>
      <c r="D43" s="31"/>
      <c r="E43" s="31"/>
      <c r="F43" s="87"/>
      <c r="G43" s="31"/>
    </row>
    <row r="44" spans="1:7">
      <c r="A44" s="87">
        <f t="shared" si="1"/>
        <v>43</v>
      </c>
      <c r="B44" s="219"/>
      <c r="C44" s="220"/>
      <c r="D44" s="31"/>
      <c r="E44" s="31"/>
      <c r="F44" s="87"/>
      <c r="G44" s="31"/>
    </row>
    <row r="45" spans="1:7">
      <c r="A45" s="87">
        <f t="shared" si="1"/>
        <v>44</v>
      </c>
      <c r="B45" s="219"/>
      <c r="C45" s="220"/>
      <c r="D45" s="31"/>
      <c r="E45" s="31"/>
      <c r="F45" s="87"/>
      <c r="G45" s="31"/>
    </row>
    <row r="46" spans="1:7">
      <c r="A46" s="87">
        <f t="shared" si="1"/>
        <v>45</v>
      </c>
      <c r="B46" s="219"/>
      <c r="C46" s="220"/>
      <c r="D46" s="31"/>
      <c r="E46" s="31"/>
      <c r="F46" s="87"/>
      <c r="G46" s="31"/>
    </row>
    <row r="47" spans="1:7">
      <c r="A47" s="87">
        <f t="shared" si="1"/>
        <v>46</v>
      </c>
      <c r="B47" s="219"/>
      <c r="C47" s="220"/>
      <c r="D47" s="31"/>
      <c r="E47" s="31"/>
      <c r="F47" s="87"/>
      <c r="G47" s="31"/>
    </row>
    <row r="48" spans="1:7">
      <c r="A48" s="87">
        <f t="shared" si="1"/>
        <v>47</v>
      </c>
      <c r="B48" s="219"/>
      <c r="C48" s="220"/>
      <c r="D48" s="31"/>
      <c r="E48" s="31"/>
      <c r="F48" s="87"/>
      <c r="G48" s="31"/>
    </row>
    <row r="49" spans="1:7">
      <c r="A49" s="87">
        <f t="shared" si="1"/>
        <v>48</v>
      </c>
      <c r="B49" s="219"/>
      <c r="C49" s="220"/>
      <c r="D49" s="31"/>
      <c r="E49" s="31"/>
      <c r="F49" s="87"/>
      <c r="G49" s="31"/>
    </row>
    <row r="50" spans="1:7">
      <c r="A50" s="87">
        <f t="shared" si="1"/>
        <v>49</v>
      </c>
      <c r="B50" s="219"/>
      <c r="C50" s="220"/>
      <c r="D50" s="31"/>
      <c r="E50" s="31"/>
      <c r="F50" s="87"/>
      <c r="G50" s="31"/>
    </row>
    <row r="51" spans="1:7">
      <c r="A51" s="87">
        <f t="shared" si="1"/>
        <v>50</v>
      </c>
      <c r="B51" s="219"/>
      <c r="C51" s="220"/>
      <c r="D51" s="31"/>
      <c r="E51" s="31"/>
      <c r="F51" s="87"/>
      <c r="G51" s="31"/>
    </row>
    <row r="52" spans="1:7">
      <c r="A52" s="87">
        <f t="shared" si="1"/>
        <v>51</v>
      </c>
      <c r="B52" s="219"/>
      <c r="C52" s="220"/>
      <c r="D52" s="31"/>
      <c r="E52" s="31"/>
      <c r="F52" s="87"/>
      <c r="G52" s="31"/>
    </row>
    <row r="53" spans="1:7">
      <c r="A53" s="87">
        <f t="shared" si="1"/>
        <v>52</v>
      </c>
      <c r="B53" s="219"/>
      <c r="C53" s="220"/>
      <c r="D53" s="31"/>
      <c r="E53" s="31"/>
      <c r="F53" s="87"/>
      <c r="G53" s="31"/>
    </row>
    <row r="54" spans="1:7">
      <c r="A54" s="87">
        <f t="shared" si="1"/>
        <v>53</v>
      </c>
      <c r="B54" s="219"/>
      <c r="C54" s="220"/>
      <c r="D54" s="31"/>
      <c r="E54" s="31"/>
      <c r="F54" s="87"/>
      <c r="G54" s="31"/>
    </row>
    <row r="55" spans="1:7">
      <c r="A55" s="87">
        <f t="shared" si="1"/>
        <v>54</v>
      </c>
      <c r="B55" s="219"/>
      <c r="C55" s="220"/>
      <c r="D55" s="31"/>
      <c r="E55" s="31"/>
      <c r="F55" s="87"/>
      <c r="G55" s="31"/>
    </row>
    <row r="56" spans="1:7">
      <c r="A56" s="87">
        <f t="shared" si="1"/>
        <v>55</v>
      </c>
      <c r="B56" s="219"/>
      <c r="C56" s="220"/>
      <c r="D56" s="31"/>
      <c r="E56" s="31"/>
      <c r="F56" s="87"/>
      <c r="G56" s="31"/>
    </row>
    <row r="57" spans="1:7">
      <c r="A57" s="87">
        <f t="shared" si="1"/>
        <v>56</v>
      </c>
      <c r="B57" s="219"/>
      <c r="C57" s="220"/>
      <c r="D57" s="31"/>
      <c r="E57" s="31"/>
      <c r="F57" s="87"/>
      <c r="G57" s="31"/>
    </row>
    <row r="58" spans="1:7">
      <c r="A58" s="87">
        <f t="shared" si="1"/>
        <v>57</v>
      </c>
      <c r="B58" s="219"/>
      <c r="C58" s="220"/>
      <c r="D58" s="31"/>
      <c r="E58" s="31"/>
      <c r="F58" s="87"/>
      <c r="G58" s="31"/>
    </row>
    <row r="59" spans="1:7">
      <c r="A59" s="87">
        <f t="shared" si="1"/>
        <v>58</v>
      </c>
      <c r="B59" s="219"/>
      <c r="C59" s="220"/>
      <c r="D59" s="31"/>
      <c r="E59" s="31"/>
      <c r="F59" s="87"/>
      <c r="G59" s="31"/>
    </row>
    <row r="60" spans="1:7">
      <c r="A60" s="87">
        <f t="shared" si="1"/>
        <v>59</v>
      </c>
      <c r="B60" s="219"/>
      <c r="C60" s="220"/>
      <c r="D60" s="31"/>
      <c r="E60" s="31"/>
      <c r="F60" s="87"/>
      <c r="G60" s="31"/>
    </row>
    <row r="61" spans="1:7">
      <c r="A61" s="87">
        <f t="shared" si="1"/>
        <v>60</v>
      </c>
      <c r="B61" s="219"/>
      <c r="C61" s="220"/>
      <c r="D61" s="31"/>
      <c r="E61" s="31"/>
      <c r="F61" s="87"/>
      <c r="G61" s="31"/>
    </row>
    <row r="62" spans="1:7">
      <c r="A62" s="87">
        <f t="shared" si="1"/>
        <v>61</v>
      </c>
      <c r="B62" s="219"/>
      <c r="C62" s="220"/>
      <c r="D62" s="31"/>
      <c r="E62" s="31"/>
      <c r="F62" s="87"/>
      <c r="G62" s="31"/>
    </row>
    <row r="63" spans="1:7">
      <c r="A63" s="87">
        <f t="shared" si="1"/>
        <v>62</v>
      </c>
      <c r="B63" s="219"/>
      <c r="C63" s="220"/>
      <c r="D63" s="31"/>
      <c r="E63" s="31"/>
      <c r="F63" s="87"/>
      <c r="G63" s="31"/>
    </row>
    <row r="64" spans="1:7">
      <c r="A64" s="87">
        <f t="shared" si="1"/>
        <v>63</v>
      </c>
      <c r="B64" s="219"/>
      <c r="C64" s="220"/>
      <c r="D64" s="31"/>
      <c r="E64" s="31"/>
      <c r="F64" s="87"/>
      <c r="G64" s="31"/>
    </row>
    <row r="65" spans="1:7">
      <c r="A65" s="87">
        <f t="shared" si="1"/>
        <v>64</v>
      </c>
      <c r="B65" s="219"/>
      <c r="C65" s="220"/>
      <c r="D65" s="31"/>
      <c r="E65" s="31"/>
      <c r="F65" s="87"/>
      <c r="G65" s="31"/>
    </row>
    <row r="66" spans="1:7">
      <c r="A66" s="87">
        <f t="shared" si="1"/>
        <v>65</v>
      </c>
      <c r="B66" s="219"/>
      <c r="C66" s="220"/>
      <c r="D66" s="31"/>
      <c r="E66" s="31"/>
      <c r="F66" s="87"/>
      <c r="G66" s="31"/>
    </row>
    <row r="67" spans="1:7">
      <c r="A67" s="87">
        <f t="shared" si="1"/>
        <v>66</v>
      </c>
      <c r="B67" s="219"/>
      <c r="C67" s="220"/>
      <c r="D67" s="31"/>
      <c r="E67" s="31"/>
      <c r="F67" s="87"/>
      <c r="G67" s="31"/>
    </row>
    <row r="68" spans="1:7">
      <c r="A68" s="87">
        <f t="shared" si="1"/>
        <v>67</v>
      </c>
      <c r="B68" s="219"/>
      <c r="C68" s="220"/>
      <c r="D68" s="31"/>
      <c r="E68" s="31"/>
      <c r="F68" s="87"/>
      <c r="G68" s="31"/>
    </row>
    <row r="69" spans="1:7">
      <c r="A69" s="87">
        <f t="shared" si="1"/>
        <v>68</v>
      </c>
      <c r="B69" s="219"/>
      <c r="C69" s="220"/>
      <c r="D69" s="31"/>
      <c r="E69" s="31"/>
      <c r="F69" s="87"/>
      <c r="G69" s="31"/>
    </row>
    <row r="70" spans="1:7">
      <c r="A70" s="87">
        <f t="shared" si="1"/>
        <v>69</v>
      </c>
      <c r="B70" s="219"/>
      <c r="C70" s="220"/>
      <c r="D70" s="31"/>
      <c r="E70" s="31"/>
      <c r="F70" s="87"/>
      <c r="G70" s="31"/>
    </row>
    <row r="71" spans="1:7">
      <c r="A71" s="87">
        <f t="shared" si="1"/>
        <v>70</v>
      </c>
      <c r="B71" s="219"/>
      <c r="C71" s="220"/>
      <c r="D71" s="31"/>
      <c r="E71" s="31"/>
      <c r="F71" s="31"/>
      <c r="G71" s="31"/>
    </row>
    <row r="72" spans="1:7">
      <c r="A72" s="87">
        <f t="shared" si="1"/>
        <v>71</v>
      </c>
      <c r="B72" s="219"/>
      <c r="C72" s="220"/>
      <c r="D72" s="31"/>
      <c r="E72" s="31"/>
      <c r="F72" s="87"/>
      <c r="G72" s="31"/>
    </row>
    <row r="73" spans="1:7">
      <c r="A73" s="87">
        <f t="shared" si="1"/>
        <v>72</v>
      </c>
      <c r="B73" s="219"/>
      <c r="C73" s="220"/>
      <c r="D73" s="31"/>
      <c r="E73" s="31"/>
      <c r="F73" s="87"/>
      <c r="G73" s="31"/>
    </row>
    <row r="74" spans="1:7">
      <c r="A74" s="87">
        <f t="shared" si="1"/>
        <v>73</v>
      </c>
      <c r="B74" s="219"/>
      <c r="C74" s="220"/>
      <c r="D74" s="31"/>
      <c r="E74" s="31"/>
      <c r="F74" s="87"/>
      <c r="G74" s="31"/>
    </row>
    <row r="75" spans="1:7">
      <c r="A75" s="87">
        <f t="shared" si="1"/>
        <v>74</v>
      </c>
      <c r="B75" s="219"/>
      <c r="C75" s="220"/>
      <c r="D75" s="31"/>
      <c r="E75" s="31"/>
      <c r="F75" s="87"/>
      <c r="G75" s="31"/>
    </row>
    <row r="76" spans="1:7">
      <c r="A76" s="87">
        <f t="shared" si="1"/>
        <v>75</v>
      </c>
      <c r="B76" s="219"/>
      <c r="C76" s="220"/>
      <c r="D76" s="31"/>
      <c r="E76" s="31"/>
      <c r="F76" s="87"/>
      <c r="G76" s="31"/>
    </row>
    <row r="77" spans="1:7">
      <c r="A77" s="87">
        <f t="shared" si="1"/>
        <v>76</v>
      </c>
      <c r="B77" s="219"/>
      <c r="C77" s="220"/>
      <c r="D77" s="31"/>
      <c r="E77" s="31"/>
      <c r="F77" s="87"/>
      <c r="G77" s="31"/>
    </row>
    <row r="78" spans="1:7">
      <c r="A78" s="87">
        <f t="shared" si="1"/>
        <v>77</v>
      </c>
      <c r="B78" s="219"/>
      <c r="C78" s="220"/>
      <c r="D78" s="31"/>
      <c r="E78" s="31"/>
      <c r="F78" s="87"/>
      <c r="G78" s="31"/>
    </row>
    <row r="79" spans="1:7">
      <c r="A79" s="87">
        <f t="shared" si="1"/>
        <v>78</v>
      </c>
      <c r="B79" s="219"/>
      <c r="C79" s="220"/>
      <c r="D79" s="31"/>
      <c r="E79" s="31"/>
      <c r="F79" s="87"/>
      <c r="G79" s="31"/>
    </row>
    <row r="80" spans="1:7">
      <c r="A80" s="87">
        <f t="shared" si="1"/>
        <v>79</v>
      </c>
      <c r="B80" s="219"/>
      <c r="C80" s="220"/>
      <c r="D80" s="31"/>
      <c r="E80" s="31"/>
      <c r="F80" s="87"/>
      <c r="G80" s="31"/>
    </row>
    <row r="81" spans="1:7">
      <c r="A81" s="87">
        <f t="shared" si="1"/>
        <v>80</v>
      </c>
      <c r="B81" s="219"/>
      <c r="C81" s="220"/>
      <c r="D81" s="31"/>
      <c r="E81" s="31"/>
      <c r="F81" s="87"/>
      <c r="G81" s="31"/>
    </row>
    <row r="82" spans="1:7">
      <c r="A82" s="87">
        <f t="shared" si="1"/>
        <v>81</v>
      </c>
      <c r="B82" s="219"/>
      <c r="C82" s="220"/>
      <c r="D82" s="31"/>
      <c r="E82" s="31"/>
      <c r="F82" s="87"/>
      <c r="G82" s="31"/>
    </row>
    <row r="83" spans="1:7">
      <c r="A83" s="87">
        <f t="shared" si="1"/>
        <v>82</v>
      </c>
      <c r="B83" s="219"/>
      <c r="C83" s="220"/>
      <c r="D83" s="31"/>
      <c r="E83" s="31"/>
      <c r="F83" s="87"/>
      <c r="G83" s="31"/>
    </row>
    <row r="84" spans="1:7">
      <c r="A84" s="87">
        <f t="shared" si="1"/>
        <v>83</v>
      </c>
      <c r="B84" s="219"/>
      <c r="C84" s="220"/>
      <c r="D84" s="31"/>
      <c r="E84" s="31"/>
      <c r="F84" s="87"/>
      <c r="G84" s="31"/>
    </row>
    <row r="85" spans="1:7">
      <c r="A85" s="87">
        <f t="shared" si="1"/>
        <v>84</v>
      </c>
      <c r="B85" s="219"/>
      <c r="C85" s="220"/>
      <c r="D85" s="31"/>
      <c r="E85" s="31"/>
      <c r="F85" s="87"/>
      <c r="G85" s="31"/>
    </row>
    <row r="86" spans="1:7">
      <c r="A86" s="87">
        <f t="shared" si="1"/>
        <v>85</v>
      </c>
      <c r="B86" s="219"/>
      <c r="C86" s="220"/>
      <c r="D86" s="31"/>
      <c r="E86" s="31"/>
      <c r="F86" s="87"/>
      <c r="G86" s="31"/>
    </row>
    <row r="87" spans="1:7">
      <c r="A87" s="87">
        <f t="shared" si="1"/>
        <v>86</v>
      </c>
      <c r="B87" s="219"/>
      <c r="C87" s="220"/>
      <c r="D87" s="31"/>
      <c r="E87" s="31"/>
      <c r="F87" s="87"/>
      <c r="G87" s="31"/>
    </row>
    <row r="88" spans="1:7">
      <c r="A88" s="87">
        <f t="shared" si="1"/>
        <v>87</v>
      </c>
      <c r="B88" s="219"/>
      <c r="C88" s="220"/>
      <c r="D88" s="31"/>
      <c r="E88" s="31"/>
      <c r="F88" s="87"/>
      <c r="G88" s="31"/>
    </row>
    <row r="89" spans="1:7">
      <c r="A89" s="87">
        <f t="shared" si="1"/>
        <v>88</v>
      </c>
      <c r="B89" s="219"/>
      <c r="C89" s="220"/>
      <c r="D89" s="31"/>
      <c r="E89" s="31"/>
      <c r="F89" s="87"/>
      <c r="G89" s="31"/>
    </row>
    <row r="90" spans="1:7">
      <c r="A90" s="87">
        <f t="shared" si="1"/>
        <v>89</v>
      </c>
      <c r="B90" s="219"/>
      <c r="C90" s="220"/>
      <c r="D90" s="31"/>
      <c r="E90" s="31"/>
      <c r="F90" s="87"/>
      <c r="G90" s="31"/>
    </row>
    <row r="91" spans="1:7">
      <c r="A91" s="87">
        <f t="shared" si="1"/>
        <v>90</v>
      </c>
      <c r="B91" s="219"/>
      <c r="C91" s="220"/>
      <c r="D91" s="31"/>
      <c r="E91" s="31"/>
      <c r="F91" s="87"/>
      <c r="G91" s="31"/>
    </row>
    <row r="92" spans="1:7">
      <c r="A92" s="87">
        <f t="shared" si="1"/>
        <v>91</v>
      </c>
      <c r="B92" s="219"/>
      <c r="C92" s="220"/>
      <c r="D92" s="31"/>
      <c r="E92" s="31"/>
      <c r="F92" s="87"/>
      <c r="G92" s="31"/>
    </row>
    <row r="93" spans="1:7">
      <c r="A93" s="87">
        <f t="shared" si="1"/>
        <v>92</v>
      </c>
      <c r="B93" s="219"/>
      <c r="C93" s="220"/>
      <c r="D93" s="31"/>
      <c r="E93" s="31"/>
      <c r="F93" s="87"/>
      <c r="G93" s="31"/>
    </row>
    <row r="94" spans="1:7">
      <c r="A94" s="87">
        <f t="shared" si="1"/>
        <v>93</v>
      </c>
      <c r="B94" s="219"/>
      <c r="C94" s="220"/>
      <c r="D94" s="31"/>
      <c r="E94" s="31"/>
      <c r="F94" s="87"/>
      <c r="G94" s="31"/>
    </row>
    <row r="95" spans="1:7">
      <c r="A95" s="87">
        <f t="shared" si="1"/>
        <v>94</v>
      </c>
      <c r="B95" s="219"/>
      <c r="C95" s="220"/>
      <c r="D95" s="31"/>
      <c r="E95" s="31"/>
      <c r="F95" s="87"/>
      <c r="G95" s="31"/>
    </row>
    <row r="96" spans="1:7">
      <c r="A96" s="87">
        <f t="shared" si="1"/>
        <v>95</v>
      </c>
      <c r="B96" s="219"/>
      <c r="C96" s="220"/>
      <c r="D96" s="31"/>
      <c r="E96" s="31"/>
      <c r="F96" s="87"/>
      <c r="G96" s="31"/>
    </row>
    <row r="97" spans="1:7">
      <c r="A97" s="87">
        <f t="shared" si="1"/>
        <v>96</v>
      </c>
      <c r="B97" s="219"/>
      <c r="C97" s="220"/>
      <c r="D97" s="31"/>
      <c r="E97" s="31"/>
      <c r="F97" s="87"/>
      <c r="G97" s="31"/>
    </row>
    <row r="98" spans="1:7">
      <c r="A98" s="87">
        <f t="shared" si="1"/>
        <v>97</v>
      </c>
      <c r="B98" s="219"/>
      <c r="C98" s="220"/>
      <c r="D98" s="31"/>
      <c r="E98" s="31"/>
      <c r="F98" s="87"/>
      <c r="G98" s="31"/>
    </row>
    <row r="99" spans="1:7">
      <c r="A99" s="87">
        <f t="shared" si="1"/>
        <v>98</v>
      </c>
      <c r="B99" s="219"/>
      <c r="C99" s="220"/>
      <c r="D99" s="31"/>
      <c r="E99" s="31"/>
      <c r="F99" s="87"/>
      <c r="G99" s="31"/>
    </row>
    <row r="100" spans="1:7">
      <c r="A100" s="87">
        <f t="shared" si="1"/>
        <v>99</v>
      </c>
      <c r="B100" s="219"/>
      <c r="C100" s="220"/>
      <c r="D100" s="31"/>
      <c r="E100" s="31"/>
      <c r="F100" s="87"/>
      <c r="G100" s="31"/>
    </row>
    <row r="101" spans="1:7">
      <c r="A101" s="87">
        <f t="shared" si="1"/>
        <v>100</v>
      </c>
      <c r="B101" s="219"/>
      <c r="C101" s="220"/>
      <c r="D101" s="31"/>
      <c r="E101" s="31"/>
      <c r="F101" s="87"/>
      <c r="G101" s="31"/>
    </row>
    <row r="102" spans="1:7">
      <c r="A102" s="87">
        <f t="shared" si="1"/>
        <v>101</v>
      </c>
      <c r="B102" s="219"/>
      <c r="C102" s="220"/>
      <c r="D102" s="31"/>
      <c r="E102" s="31"/>
      <c r="F102" s="87"/>
      <c r="G102" s="31"/>
    </row>
    <row r="103" spans="1:7">
      <c r="A103" s="87">
        <f t="shared" si="1"/>
        <v>102</v>
      </c>
      <c r="B103" s="219"/>
      <c r="C103" s="220"/>
      <c r="D103" s="31"/>
      <c r="E103" s="31"/>
      <c r="F103" s="87"/>
      <c r="G103" s="31"/>
    </row>
    <row r="104" spans="1:7">
      <c r="A104" s="87">
        <f t="shared" si="1"/>
        <v>103</v>
      </c>
      <c r="B104" s="219"/>
      <c r="C104" s="220"/>
      <c r="D104" s="31"/>
      <c r="E104" s="31"/>
      <c r="F104" s="87"/>
      <c r="G104" s="31"/>
    </row>
    <row r="105" spans="1:7">
      <c r="A105" s="87">
        <f t="shared" si="1"/>
        <v>104</v>
      </c>
      <c r="B105" s="219"/>
      <c r="C105" s="220"/>
      <c r="D105" s="31"/>
      <c r="E105" s="31"/>
      <c r="F105" s="87"/>
      <c r="G105" s="31"/>
    </row>
    <row r="106" spans="1:7">
      <c r="A106" s="87">
        <f t="shared" si="1"/>
        <v>105</v>
      </c>
      <c r="B106" s="219"/>
      <c r="C106" s="220"/>
      <c r="D106" s="31"/>
      <c r="E106" s="31"/>
      <c r="F106" s="87"/>
      <c r="G106" s="31"/>
    </row>
    <row r="107" spans="1:7">
      <c r="A107" s="87">
        <f t="shared" si="1"/>
        <v>106</v>
      </c>
      <c r="B107" s="219"/>
      <c r="C107" s="220"/>
      <c r="D107" s="31"/>
      <c r="E107" s="31"/>
      <c r="F107" s="87"/>
      <c r="G107" s="31"/>
    </row>
    <row r="108" spans="1:7">
      <c r="A108" s="87">
        <f t="shared" si="1"/>
        <v>107</v>
      </c>
      <c r="B108" s="219"/>
      <c r="C108" s="220"/>
      <c r="D108" s="31"/>
      <c r="E108" s="31"/>
      <c r="F108" s="87"/>
      <c r="G108" s="31"/>
    </row>
    <row r="109" spans="1:7">
      <c r="A109" s="87">
        <f t="shared" si="1"/>
        <v>108</v>
      </c>
      <c r="B109" s="219"/>
      <c r="C109" s="220"/>
      <c r="D109" s="31"/>
      <c r="E109" s="31"/>
      <c r="F109" s="87"/>
      <c r="G109" s="31"/>
    </row>
    <row r="110" spans="1:7">
      <c r="A110" s="87">
        <f t="shared" si="1"/>
        <v>109</v>
      </c>
      <c r="B110" s="219"/>
      <c r="C110" s="220"/>
      <c r="D110" s="31"/>
      <c r="E110" s="31"/>
      <c r="F110" s="87"/>
      <c r="G110" s="31"/>
    </row>
    <row r="111" spans="1:7">
      <c r="A111" s="87">
        <f t="shared" si="1"/>
        <v>110</v>
      </c>
      <c r="B111" s="219"/>
      <c r="C111" s="220"/>
      <c r="D111" s="31"/>
      <c r="E111" s="31"/>
      <c r="F111" s="87"/>
      <c r="G111" s="31"/>
    </row>
    <row r="112" spans="1:7">
      <c r="A112" s="87">
        <f t="shared" si="1"/>
        <v>111</v>
      </c>
      <c r="B112" s="219"/>
      <c r="C112" s="220"/>
      <c r="D112" s="31"/>
      <c r="E112" s="31"/>
      <c r="F112" s="87"/>
      <c r="G112" s="31"/>
    </row>
    <row r="113" spans="1:7">
      <c r="A113" s="87">
        <f t="shared" si="1"/>
        <v>112</v>
      </c>
      <c r="B113" s="219"/>
      <c r="C113" s="220"/>
      <c r="D113" s="31"/>
      <c r="E113" s="31"/>
      <c r="F113" s="87"/>
      <c r="G113" s="31"/>
    </row>
    <row r="114" spans="1:7">
      <c r="A114" s="87">
        <f t="shared" si="1"/>
        <v>113</v>
      </c>
      <c r="B114" s="219"/>
      <c r="C114" s="220"/>
      <c r="D114" s="31"/>
      <c r="E114" s="31"/>
      <c r="F114" s="87"/>
      <c r="G114" s="31"/>
    </row>
    <row r="115" spans="1:7">
      <c r="A115" s="87">
        <f t="shared" si="1"/>
        <v>114</v>
      </c>
      <c r="B115" s="219"/>
      <c r="C115" s="220"/>
      <c r="D115" s="31"/>
      <c r="E115" s="31"/>
      <c r="F115" s="87"/>
      <c r="G115" s="31"/>
    </row>
    <row r="116" spans="1:7">
      <c r="A116" s="87">
        <f t="shared" si="1"/>
        <v>115</v>
      </c>
      <c r="B116" s="219"/>
      <c r="C116" s="220"/>
      <c r="D116" s="31"/>
      <c r="E116" s="31"/>
      <c r="F116" s="87"/>
      <c r="G116" s="31"/>
    </row>
    <row r="117" spans="1:7">
      <c r="A117" s="87">
        <f t="shared" si="1"/>
        <v>116</v>
      </c>
      <c r="B117" s="219"/>
      <c r="C117" s="220"/>
      <c r="D117" s="31"/>
      <c r="E117" s="31"/>
      <c r="F117" s="87"/>
      <c r="G117" s="31"/>
    </row>
    <row r="118" spans="1:7">
      <c r="A118" s="87">
        <f t="shared" si="1"/>
        <v>117</v>
      </c>
      <c r="B118" s="219"/>
      <c r="C118" s="220"/>
      <c r="D118" s="31"/>
      <c r="E118" s="31"/>
      <c r="F118" s="87"/>
      <c r="G118" s="31"/>
    </row>
    <row r="119" spans="1:7">
      <c r="A119" s="87">
        <f t="shared" si="1"/>
        <v>118</v>
      </c>
      <c r="B119" s="219"/>
      <c r="C119" s="220"/>
      <c r="D119" s="31"/>
      <c r="E119" s="31"/>
      <c r="F119" s="87"/>
      <c r="G119" s="31"/>
    </row>
    <row r="120" spans="1:7">
      <c r="A120" s="87">
        <f t="shared" si="1"/>
        <v>119</v>
      </c>
      <c r="B120" s="219"/>
      <c r="C120" s="220"/>
      <c r="D120" s="31"/>
      <c r="E120" s="31"/>
      <c r="F120" s="87"/>
      <c r="G120" s="31"/>
    </row>
    <row r="121" spans="1:7">
      <c r="A121" s="87">
        <f t="shared" si="1"/>
        <v>120</v>
      </c>
      <c r="B121" s="219"/>
      <c r="C121" s="220"/>
      <c r="D121" s="31"/>
      <c r="E121" s="31"/>
      <c r="F121" s="87"/>
      <c r="G121" s="31"/>
    </row>
    <row r="122" spans="1:7">
      <c r="A122" s="87">
        <f t="shared" si="1"/>
        <v>121</v>
      </c>
      <c r="B122" s="219"/>
      <c r="C122" s="220"/>
      <c r="D122" s="31"/>
      <c r="E122" s="31"/>
      <c r="F122" s="87"/>
      <c r="G122" s="31"/>
    </row>
    <row r="123" spans="1:7">
      <c r="A123" s="87">
        <f t="shared" si="1"/>
        <v>122</v>
      </c>
      <c r="B123" s="219"/>
      <c r="C123" s="220"/>
      <c r="D123" s="31"/>
      <c r="E123" s="31"/>
      <c r="F123" s="87"/>
      <c r="G123" s="31"/>
    </row>
    <row r="124" spans="1:7">
      <c r="A124" s="87">
        <f t="shared" si="1"/>
        <v>123</v>
      </c>
      <c r="B124" s="219"/>
      <c r="C124" s="220"/>
      <c r="D124" s="31"/>
      <c r="E124" s="31"/>
      <c r="F124" s="87"/>
      <c r="G124" s="31"/>
    </row>
    <row r="125" spans="1:7">
      <c r="A125" s="87">
        <f t="shared" si="1"/>
        <v>124</v>
      </c>
      <c r="B125" s="219"/>
      <c r="C125" s="220"/>
      <c r="D125" s="31"/>
      <c r="E125" s="31"/>
      <c r="F125" s="87"/>
      <c r="G125" s="31"/>
    </row>
    <row r="126" spans="1:7">
      <c r="A126" s="87">
        <f t="shared" si="1"/>
        <v>125</v>
      </c>
      <c r="B126" s="219"/>
      <c r="C126" s="220"/>
      <c r="D126" s="31"/>
      <c r="E126" s="31"/>
      <c r="F126" s="87"/>
      <c r="G126" s="31"/>
    </row>
    <row r="127" spans="1:7">
      <c r="A127" s="87">
        <f t="shared" si="1"/>
        <v>126</v>
      </c>
      <c r="B127" s="219"/>
      <c r="C127" s="220"/>
      <c r="D127" s="31"/>
      <c r="E127" s="31"/>
      <c r="F127" s="87"/>
      <c r="G127" s="31"/>
    </row>
    <row r="128" spans="1:7">
      <c r="A128" s="87">
        <f t="shared" si="1"/>
        <v>127</v>
      </c>
      <c r="B128" s="219"/>
      <c r="C128" s="220"/>
      <c r="D128" s="31"/>
      <c r="E128" s="31"/>
      <c r="F128" s="87"/>
      <c r="G128" s="31"/>
    </row>
    <row r="129" spans="1:7">
      <c r="A129" s="87">
        <f t="shared" si="1"/>
        <v>128</v>
      </c>
      <c r="B129" s="219"/>
      <c r="C129" s="220"/>
      <c r="D129" s="31"/>
      <c r="E129" s="31"/>
      <c r="F129" s="87"/>
      <c r="G129" s="31"/>
    </row>
    <row r="130" spans="1:7">
      <c r="A130" s="87">
        <f t="shared" si="1"/>
        <v>129</v>
      </c>
      <c r="B130" s="219"/>
      <c r="C130" s="220"/>
      <c r="D130" s="31"/>
      <c r="E130" s="31"/>
      <c r="F130" s="87"/>
      <c r="G130" s="31"/>
    </row>
    <row r="131" spans="1:7">
      <c r="A131" s="87">
        <f t="shared" si="1"/>
        <v>130</v>
      </c>
      <c r="B131" s="219"/>
      <c r="C131" s="220"/>
      <c r="D131" s="31"/>
      <c r="E131" s="31"/>
      <c r="F131" s="87"/>
      <c r="G131" s="31"/>
    </row>
    <row r="132" spans="1:7">
      <c r="A132" s="87">
        <f t="shared" si="1"/>
        <v>131</v>
      </c>
      <c r="B132" s="219"/>
      <c r="C132" s="220"/>
      <c r="D132" s="31"/>
      <c r="E132" s="31"/>
      <c r="F132" s="87"/>
      <c r="G132" s="31"/>
    </row>
    <row r="133" spans="1:7">
      <c r="A133" s="87">
        <f t="shared" si="1"/>
        <v>132</v>
      </c>
      <c r="B133" s="219"/>
      <c r="C133" s="220"/>
      <c r="D133" s="31"/>
      <c r="E133" s="31"/>
      <c r="F133" s="87"/>
      <c r="G133" s="31"/>
    </row>
    <row r="134" spans="1:7">
      <c r="A134" s="87">
        <f t="shared" si="1"/>
        <v>133</v>
      </c>
      <c r="B134" s="219"/>
      <c r="C134" s="220"/>
      <c r="D134" s="31"/>
      <c r="E134" s="31"/>
      <c r="F134" s="87"/>
      <c r="G134" s="31"/>
    </row>
    <row r="135" spans="1:7">
      <c r="A135" s="87">
        <f t="shared" si="1"/>
        <v>134</v>
      </c>
      <c r="B135" s="219"/>
      <c r="C135" s="220"/>
      <c r="D135" s="31"/>
      <c r="E135" s="31"/>
      <c r="F135" s="87"/>
      <c r="G135" s="31"/>
    </row>
    <row r="136" spans="1:7">
      <c r="A136" s="87">
        <f t="shared" si="1"/>
        <v>135</v>
      </c>
      <c r="B136" s="219"/>
      <c r="C136" s="220"/>
      <c r="D136" s="31"/>
      <c r="E136" s="31"/>
      <c r="F136" s="87"/>
      <c r="G136" s="31"/>
    </row>
    <row r="137" spans="1:7">
      <c r="A137" s="87">
        <f t="shared" si="1"/>
        <v>136</v>
      </c>
      <c r="B137" s="219"/>
      <c r="C137" s="220"/>
      <c r="D137" s="31"/>
      <c r="E137" s="31"/>
      <c r="F137" s="87"/>
      <c r="G137" s="31"/>
    </row>
    <row r="138" spans="1:7">
      <c r="A138" s="87">
        <f t="shared" si="1"/>
        <v>137</v>
      </c>
      <c r="B138" s="219"/>
      <c r="C138" s="220"/>
      <c r="D138" s="31"/>
      <c r="E138" s="31"/>
      <c r="F138" s="87"/>
      <c r="G138" s="31"/>
    </row>
    <row r="139" spans="1:7">
      <c r="A139" s="87">
        <f t="shared" si="1"/>
        <v>138</v>
      </c>
      <c r="B139" s="219"/>
      <c r="C139" s="220"/>
      <c r="D139" s="31"/>
      <c r="E139" s="31"/>
      <c r="F139" s="87"/>
      <c r="G139" s="31"/>
    </row>
    <row r="140" spans="1:7">
      <c r="A140" s="87">
        <f t="shared" si="1"/>
        <v>139</v>
      </c>
      <c r="B140" s="219"/>
      <c r="C140" s="220"/>
      <c r="D140" s="31"/>
      <c r="E140" s="31"/>
      <c r="F140" s="87"/>
      <c r="G140" s="31"/>
    </row>
    <row r="141" spans="1:7">
      <c r="A141" s="87">
        <f t="shared" si="1"/>
        <v>140</v>
      </c>
      <c r="B141" s="219"/>
      <c r="C141" s="220"/>
      <c r="D141" s="31"/>
      <c r="E141" s="31"/>
      <c r="F141" s="87"/>
      <c r="G141" s="31"/>
    </row>
    <row r="142" spans="1:7">
      <c r="A142" s="87">
        <f t="shared" si="1"/>
        <v>141</v>
      </c>
      <c r="B142" s="219"/>
      <c r="C142" s="220"/>
      <c r="D142" s="31"/>
      <c r="E142" s="31"/>
      <c r="F142" s="87"/>
      <c r="G142" s="31"/>
    </row>
    <row r="143" spans="1:7">
      <c r="A143" s="87">
        <f t="shared" si="1"/>
        <v>142</v>
      </c>
      <c r="B143" s="219"/>
      <c r="C143" s="220"/>
      <c r="D143" s="31"/>
      <c r="E143" s="31"/>
      <c r="F143" s="87"/>
      <c r="G143" s="31"/>
    </row>
    <row r="144" spans="1:7">
      <c r="A144" s="87">
        <f t="shared" si="1"/>
        <v>143</v>
      </c>
      <c r="B144" s="219"/>
      <c r="C144" s="220"/>
      <c r="D144" s="31"/>
      <c r="E144" s="31"/>
      <c r="F144" s="87"/>
      <c r="G144" s="31"/>
    </row>
    <row r="145" spans="1:7">
      <c r="A145" s="87">
        <f t="shared" si="1"/>
        <v>144</v>
      </c>
      <c r="B145" s="219"/>
      <c r="C145" s="220"/>
      <c r="D145" s="31"/>
      <c r="E145" s="31"/>
      <c r="F145" s="87"/>
      <c r="G145" s="31"/>
    </row>
    <row r="146" spans="1:7">
      <c r="A146" s="87">
        <f t="shared" si="1"/>
        <v>145</v>
      </c>
      <c r="B146" s="219"/>
      <c r="C146" s="220"/>
      <c r="D146" s="31"/>
      <c r="E146" s="31"/>
      <c r="F146" s="87"/>
      <c r="G146" s="31"/>
    </row>
    <row r="147" spans="1:7">
      <c r="A147" s="87">
        <f t="shared" si="1"/>
        <v>146</v>
      </c>
      <c r="B147" s="219"/>
      <c r="C147" s="220"/>
      <c r="D147" s="31"/>
      <c r="E147" s="31"/>
      <c r="F147" s="87"/>
      <c r="G147" s="31"/>
    </row>
    <row r="148" spans="1:7">
      <c r="A148" s="87">
        <f t="shared" si="1"/>
        <v>147</v>
      </c>
      <c r="B148" s="219"/>
      <c r="C148" s="220"/>
      <c r="D148" s="31"/>
      <c r="E148" s="31"/>
      <c r="F148" s="87"/>
      <c r="G148" s="31"/>
    </row>
    <row r="149" spans="1:7">
      <c r="A149" s="87">
        <f t="shared" si="1"/>
        <v>148</v>
      </c>
      <c r="B149" s="219"/>
      <c r="C149" s="220"/>
      <c r="D149" s="31"/>
      <c r="E149" s="31"/>
      <c r="F149" s="87"/>
      <c r="G149" s="31"/>
    </row>
    <row r="150" spans="1:7">
      <c r="A150" s="87">
        <f t="shared" si="1"/>
        <v>149</v>
      </c>
      <c r="B150" s="219"/>
      <c r="C150" s="220"/>
      <c r="D150" s="31"/>
      <c r="E150" s="31"/>
      <c r="F150" s="87"/>
      <c r="G150" s="31"/>
    </row>
    <row r="151" spans="1:7">
      <c r="A151" s="87">
        <f t="shared" si="1"/>
        <v>150</v>
      </c>
      <c r="B151" s="219"/>
      <c r="C151" s="220"/>
      <c r="D151" s="31"/>
      <c r="E151" s="31"/>
      <c r="F151" s="87"/>
      <c r="G151" s="31"/>
    </row>
    <row r="152" spans="1:7">
      <c r="A152" s="87">
        <f t="shared" si="1"/>
        <v>151</v>
      </c>
      <c r="B152" s="219"/>
      <c r="C152" s="220"/>
      <c r="D152" s="31"/>
      <c r="E152" s="31"/>
      <c r="F152" s="87"/>
      <c r="G152" s="31"/>
    </row>
    <row r="153" spans="1:7">
      <c r="A153" s="87">
        <f t="shared" si="1"/>
        <v>152</v>
      </c>
      <c r="B153" s="219"/>
      <c r="C153" s="220"/>
      <c r="D153" s="31"/>
      <c r="E153" s="31"/>
      <c r="F153" s="87"/>
      <c r="G153" s="31"/>
    </row>
    <row r="154" spans="1:7">
      <c r="A154" s="87">
        <f t="shared" si="1"/>
        <v>153</v>
      </c>
      <c r="B154" s="219"/>
      <c r="C154" s="220"/>
      <c r="D154" s="31"/>
      <c r="E154" s="31"/>
      <c r="F154" s="87"/>
      <c r="G154" s="31"/>
    </row>
    <row r="155" spans="1:7">
      <c r="A155" s="87">
        <f t="shared" si="1"/>
        <v>154</v>
      </c>
      <c r="B155" s="219"/>
      <c r="C155" s="220"/>
      <c r="D155" s="31"/>
      <c r="E155" s="31"/>
      <c r="F155" s="87"/>
      <c r="G155" s="31"/>
    </row>
    <row r="156" spans="1:7">
      <c r="A156" s="87">
        <f t="shared" si="1"/>
        <v>155</v>
      </c>
      <c r="B156" s="219"/>
      <c r="C156" s="220"/>
      <c r="D156" s="31"/>
      <c r="E156" s="31"/>
      <c r="F156" s="87"/>
      <c r="G156" s="31"/>
    </row>
    <row r="157" spans="1:7">
      <c r="A157" s="87">
        <f t="shared" ref="A157:A174" si="2">ROW()-1</f>
        <v>156</v>
      </c>
      <c r="B157" s="219"/>
      <c r="C157" s="220"/>
      <c r="D157" s="31"/>
      <c r="E157" s="31"/>
      <c r="F157" s="87"/>
      <c r="G157" s="31"/>
    </row>
    <row r="158" spans="1:7">
      <c r="A158" s="87">
        <f t="shared" si="2"/>
        <v>157</v>
      </c>
      <c r="B158" s="219"/>
      <c r="C158" s="220"/>
      <c r="D158" s="31"/>
      <c r="E158" s="31"/>
      <c r="F158" s="87"/>
      <c r="G158" s="31"/>
    </row>
    <row r="159" spans="1:7">
      <c r="A159" s="87">
        <f t="shared" si="2"/>
        <v>158</v>
      </c>
      <c r="B159" s="219"/>
      <c r="C159" s="220"/>
      <c r="D159" s="31"/>
      <c r="E159" s="31"/>
      <c r="F159" s="87"/>
      <c r="G159" s="31"/>
    </row>
    <row r="160" spans="1:7">
      <c r="A160" s="87">
        <f t="shared" si="2"/>
        <v>159</v>
      </c>
      <c r="B160" s="219"/>
      <c r="C160" s="220"/>
      <c r="D160" s="31"/>
      <c r="E160" s="31"/>
      <c r="F160" s="87"/>
      <c r="G160" s="31"/>
    </row>
    <row r="161" spans="1:7">
      <c r="A161" s="87">
        <f t="shared" si="2"/>
        <v>160</v>
      </c>
      <c r="B161" s="219"/>
      <c r="C161" s="220"/>
      <c r="D161" s="31"/>
      <c r="E161" s="31"/>
      <c r="F161" s="87"/>
      <c r="G161" s="31"/>
    </row>
    <row r="162" spans="1:7">
      <c r="A162" s="87">
        <f t="shared" si="2"/>
        <v>161</v>
      </c>
      <c r="B162" s="219"/>
      <c r="C162" s="220"/>
      <c r="D162" s="31"/>
      <c r="E162" s="31"/>
      <c r="F162" s="87"/>
      <c r="G162" s="31"/>
    </row>
    <row r="163" spans="1:7">
      <c r="A163" s="87">
        <f t="shared" si="2"/>
        <v>162</v>
      </c>
      <c r="B163" s="219"/>
      <c r="C163" s="220"/>
      <c r="D163" s="31"/>
      <c r="E163" s="31"/>
      <c r="F163" s="87"/>
      <c r="G163" s="31"/>
    </row>
    <row r="164" spans="1:7">
      <c r="A164" s="87">
        <f t="shared" si="2"/>
        <v>163</v>
      </c>
      <c r="B164" s="219"/>
      <c r="C164" s="220"/>
      <c r="D164" s="31"/>
      <c r="E164" s="31"/>
      <c r="F164" s="87"/>
      <c r="G164" s="31"/>
    </row>
    <row r="165" spans="1:7">
      <c r="A165" s="87">
        <f t="shared" si="2"/>
        <v>164</v>
      </c>
      <c r="B165" s="219"/>
      <c r="C165" s="220"/>
      <c r="D165" s="31"/>
      <c r="E165" s="31"/>
      <c r="F165" s="87"/>
      <c r="G165" s="31"/>
    </row>
    <row r="166" spans="1:7">
      <c r="A166" s="87">
        <f t="shared" si="2"/>
        <v>165</v>
      </c>
      <c r="B166" s="219"/>
      <c r="C166" s="220"/>
      <c r="D166" s="31"/>
      <c r="E166" s="31"/>
      <c r="F166" s="87"/>
      <c r="G166" s="31"/>
    </row>
    <row r="167" spans="1:7">
      <c r="A167" s="87">
        <f t="shared" si="2"/>
        <v>166</v>
      </c>
      <c r="B167" s="219"/>
      <c r="C167" s="220"/>
      <c r="D167" s="31"/>
      <c r="E167" s="31"/>
      <c r="F167" s="87"/>
      <c r="G167" s="31"/>
    </row>
    <row r="168" spans="1:7">
      <c r="A168" s="87">
        <f t="shared" si="2"/>
        <v>167</v>
      </c>
      <c r="B168" s="219"/>
      <c r="C168" s="220"/>
      <c r="D168" s="31"/>
      <c r="E168" s="31"/>
      <c r="F168" s="87"/>
      <c r="G168" s="31"/>
    </row>
    <row r="169" s="88" customFormat="1" spans="1:7">
      <c r="A169" s="87">
        <f t="shared" si="2"/>
        <v>168</v>
      </c>
      <c r="B169" s="219"/>
      <c r="C169" s="220"/>
      <c r="D169" s="31"/>
      <c r="E169" s="31"/>
      <c r="F169" s="87"/>
      <c r="G169" s="31"/>
    </row>
    <row r="170" s="88" customFormat="1" spans="1:7">
      <c r="A170" s="87">
        <f t="shared" si="2"/>
        <v>169</v>
      </c>
      <c r="B170" s="219"/>
      <c r="C170" s="220"/>
      <c r="D170" s="31"/>
      <c r="E170" s="31"/>
      <c r="F170" s="87"/>
      <c r="G170" s="31"/>
    </row>
    <row r="171" s="88" customFormat="1" spans="1:7">
      <c r="A171" s="87">
        <f t="shared" si="2"/>
        <v>170</v>
      </c>
      <c r="B171" s="219"/>
      <c r="C171" s="220"/>
      <c r="D171" s="31"/>
      <c r="E171" s="31"/>
      <c r="F171" s="87"/>
      <c r="G171" s="31"/>
    </row>
    <row r="172" spans="1:7">
      <c r="A172" s="87">
        <f t="shared" si="2"/>
        <v>171</v>
      </c>
      <c r="B172" s="219"/>
      <c r="C172" s="220"/>
      <c r="D172" s="31"/>
      <c r="E172" s="31"/>
      <c r="F172" s="87"/>
      <c r="G172" s="31"/>
    </row>
    <row r="173" s="88" customFormat="1" spans="1:7">
      <c r="A173" s="87">
        <f t="shared" si="2"/>
        <v>172</v>
      </c>
      <c r="B173" s="219"/>
      <c r="C173" s="220"/>
      <c r="D173" s="31"/>
      <c r="E173" s="31"/>
      <c r="F173" s="87"/>
      <c r="G173" s="31"/>
    </row>
    <row r="174" s="88" customFormat="1" spans="1:7">
      <c r="A174" s="87">
        <f t="shared" si="2"/>
        <v>173</v>
      </c>
      <c r="B174" s="219"/>
      <c r="C174" s="220"/>
      <c r="D174" s="31"/>
      <c r="E174" s="31"/>
      <c r="F174" s="87"/>
      <c r="G174" s="31"/>
    </row>
    <row r="175" spans="1:7">
      <c r="A175" s="87">
        <v>174</v>
      </c>
      <c r="B175" s="219"/>
      <c r="C175" s="220"/>
      <c r="D175" s="31"/>
      <c r="E175" s="31"/>
      <c r="F175" s="87"/>
      <c r="G175" s="31"/>
    </row>
    <row r="176" spans="1:7">
      <c r="A176" s="87">
        <v>174</v>
      </c>
      <c r="B176" s="219"/>
      <c r="C176" s="220"/>
      <c r="D176" s="31"/>
      <c r="E176" s="31"/>
      <c r="F176" s="87"/>
      <c r="G176" s="31"/>
    </row>
    <row r="177" spans="1:7">
      <c r="A177" s="87">
        <f t="shared" ref="A177:A231" si="3">ROW()-1</f>
        <v>176</v>
      </c>
      <c r="B177" s="219"/>
      <c r="C177" s="220"/>
      <c r="D177" s="31"/>
      <c r="E177" s="31"/>
      <c r="F177" s="87"/>
      <c r="G177" s="31"/>
    </row>
    <row r="178" spans="1:7">
      <c r="A178" s="87">
        <f t="shared" si="3"/>
        <v>177</v>
      </c>
      <c r="B178" s="219"/>
      <c r="C178" s="220"/>
      <c r="D178" s="31"/>
      <c r="E178" s="31"/>
      <c r="F178" s="87"/>
      <c r="G178" s="31"/>
    </row>
    <row r="179" spans="1:7">
      <c r="A179" s="87">
        <f t="shared" si="3"/>
        <v>178</v>
      </c>
      <c r="B179" s="219"/>
      <c r="C179" s="220"/>
      <c r="D179" s="31"/>
      <c r="E179" s="31"/>
      <c r="F179" s="87"/>
      <c r="G179" s="31"/>
    </row>
    <row r="180" spans="1:7">
      <c r="A180" s="87">
        <f t="shared" si="3"/>
        <v>179</v>
      </c>
      <c r="B180" s="219"/>
      <c r="C180" s="220"/>
      <c r="D180" s="31"/>
      <c r="E180" s="31"/>
      <c r="F180" s="87"/>
      <c r="G180" s="31"/>
    </row>
    <row r="181" spans="1:7">
      <c r="A181" s="87">
        <f t="shared" si="3"/>
        <v>180</v>
      </c>
      <c r="B181" s="219"/>
      <c r="C181" s="220"/>
      <c r="D181" s="31"/>
      <c r="E181" s="31"/>
      <c r="F181" s="87"/>
      <c r="G181" s="31"/>
    </row>
    <row r="182" spans="1:7">
      <c r="A182" s="87">
        <f t="shared" si="3"/>
        <v>181</v>
      </c>
      <c r="B182" s="219"/>
      <c r="C182" s="220"/>
      <c r="D182" s="31"/>
      <c r="E182" s="31"/>
      <c r="F182" s="87"/>
      <c r="G182" s="31"/>
    </row>
    <row r="183" spans="1:7">
      <c r="A183" s="87">
        <f t="shared" si="3"/>
        <v>182</v>
      </c>
      <c r="B183" s="219"/>
      <c r="C183" s="220"/>
      <c r="D183" s="31"/>
      <c r="E183" s="31"/>
      <c r="F183" s="87"/>
      <c r="G183" s="31"/>
    </row>
    <row r="184" spans="1:7">
      <c r="A184" s="87">
        <f t="shared" si="3"/>
        <v>183</v>
      </c>
      <c r="B184" s="219"/>
      <c r="C184" s="220"/>
      <c r="D184" s="31"/>
      <c r="E184" s="31"/>
      <c r="F184" s="87"/>
      <c r="G184" s="31"/>
    </row>
    <row r="185" spans="1:7">
      <c r="A185" s="87">
        <f t="shared" si="3"/>
        <v>184</v>
      </c>
      <c r="B185" s="219"/>
      <c r="C185" s="220"/>
      <c r="D185" s="31"/>
      <c r="E185" s="31"/>
      <c r="F185" s="87"/>
      <c r="G185" s="31"/>
    </row>
    <row r="186" spans="1:7">
      <c r="A186" s="87">
        <f t="shared" si="3"/>
        <v>185</v>
      </c>
      <c r="B186" s="219"/>
      <c r="C186" s="220"/>
      <c r="D186" s="31"/>
      <c r="E186" s="31"/>
      <c r="F186" s="87"/>
      <c r="G186" s="31"/>
    </row>
    <row r="187" spans="1:7">
      <c r="A187" s="87">
        <f t="shared" si="3"/>
        <v>186</v>
      </c>
      <c r="B187" s="219"/>
      <c r="C187" s="220"/>
      <c r="D187" s="31"/>
      <c r="E187" s="31"/>
      <c r="F187" s="87"/>
      <c r="G187" s="31"/>
    </row>
    <row r="188" spans="1:7">
      <c r="A188" s="87">
        <f t="shared" si="3"/>
        <v>187</v>
      </c>
      <c r="B188" s="219"/>
      <c r="C188" s="220"/>
      <c r="D188" s="31"/>
      <c r="E188" s="31"/>
      <c r="F188" s="87"/>
      <c r="G188" s="31"/>
    </row>
    <row r="189" spans="1:7">
      <c r="A189" s="87">
        <f t="shared" si="3"/>
        <v>188</v>
      </c>
      <c r="B189" s="219"/>
      <c r="C189" s="220"/>
      <c r="D189" s="31"/>
      <c r="E189" s="31"/>
      <c r="F189" s="87"/>
      <c r="G189" s="31"/>
    </row>
    <row r="190" spans="1:7">
      <c r="A190" s="87">
        <f t="shared" si="3"/>
        <v>189</v>
      </c>
      <c r="B190" s="219"/>
      <c r="C190" s="220"/>
      <c r="D190" s="31"/>
      <c r="E190" s="31"/>
      <c r="F190" s="87"/>
      <c r="G190" s="31"/>
    </row>
    <row r="191" spans="1:7">
      <c r="A191" s="87">
        <f t="shared" si="3"/>
        <v>190</v>
      </c>
      <c r="B191" s="219"/>
      <c r="C191" s="220"/>
      <c r="D191" s="31"/>
      <c r="E191" s="31"/>
      <c r="F191" s="87"/>
      <c r="G191" s="31"/>
    </row>
    <row r="192" spans="1:7">
      <c r="A192" s="87">
        <f t="shared" si="3"/>
        <v>191</v>
      </c>
      <c r="B192" s="219"/>
      <c r="C192" s="220"/>
      <c r="D192" s="31"/>
      <c r="E192" s="31"/>
      <c r="F192" s="87"/>
      <c r="G192" s="31"/>
    </row>
    <row r="193" spans="1:7">
      <c r="A193" s="87">
        <f t="shared" si="3"/>
        <v>192</v>
      </c>
      <c r="B193" s="219"/>
      <c r="C193" s="220"/>
      <c r="D193" s="31"/>
      <c r="E193" s="31"/>
      <c r="F193" s="87"/>
      <c r="G193" s="31"/>
    </row>
    <row r="194" spans="1:7">
      <c r="A194" s="87">
        <f t="shared" si="3"/>
        <v>193</v>
      </c>
      <c r="B194" s="219"/>
      <c r="C194" s="220"/>
      <c r="D194" s="31"/>
      <c r="E194" s="31"/>
      <c r="F194" s="87"/>
      <c r="G194" s="31"/>
    </row>
    <row r="195" spans="1:7">
      <c r="A195" s="87">
        <f t="shared" si="3"/>
        <v>194</v>
      </c>
      <c r="B195" s="219"/>
      <c r="C195" s="220"/>
      <c r="D195" s="31"/>
      <c r="E195" s="31"/>
      <c r="F195" s="87"/>
      <c r="G195" s="31"/>
    </row>
    <row r="196" spans="1:7">
      <c r="A196" s="87">
        <f t="shared" si="3"/>
        <v>195</v>
      </c>
      <c r="B196" s="219"/>
      <c r="C196" s="220"/>
      <c r="D196" s="31"/>
      <c r="E196" s="31"/>
      <c r="F196" s="87"/>
      <c r="G196" s="31"/>
    </row>
    <row r="197" spans="1:7">
      <c r="A197" s="87">
        <f t="shared" si="3"/>
        <v>196</v>
      </c>
      <c r="B197" s="219"/>
      <c r="C197" s="220"/>
      <c r="D197" s="31"/>
      <c r="E197" s="31"/>
      <c r="F197" s="87"/>
      <c r="G197" s="31"/>
    </row>
    <row r="198" spans="1:7">
      <c r="A198" s="87">
        <f t="shared" si="3"/>
        <v>197</v>
      </c>
      <c r="B198" s="219"/>
      <c r="C198" s="220"/>
      <c r="D198" s="31"/>
      <c r="E198" s="31"/>
      <c r="F198" s="87"/>
      <c r="G198" s="31"/>
    </row>
    <row r="199" spans="1:7">
      <c r="A199" s="87">
        <f t="shared" si="3"/>
        <v>198</v>
      </c>
      <c r="B199" s="219"/>
      <c r="C199" s="220"/>
      <c r="D199" s="31"/>
      <c r="E199" s="31"/>
      <c r="F199" s="87"/>
      <c r="G199" s="31"/>
    </row>
    <row r="200" spans="1:7">
      <c r="A200" s="87">
        <f t="shared" si="3"/>
        <v>199</v>
      </c>
      <c r="B200" s="219"/>
      <c r="C200" s="220"/>
      <c r="D200" s="31"/>
      <c r="E200" s="31"/>
      <c r="F200" s="87"/>
      <c r="G200" s="31"/>
    </row>
    <row r="201" spans="1:7">
      <c r="A201" s="87">
        <f t="shared" si="3"/>
        <v>200</v>
      </c>
      <c r="B201" s="219"/>
      <c r="C201" s="220"/>
      <c r="D201" s="31"/>
      <c r="E201" s="31"/>
      <c r="F201" s="87"/>
      <c r="G201" s="31"/>
    </row>
    <row r="202" spans="1:7">
      <c r="A202" s="87">
        <f t="shared" si="3"/>
        <v>201</v>
      </c>
      <c r="B202" s="219"/>
      <c r="C202" s="220"/>
      <c r="D202" s="31"/>
      <c r="E202" s="31"/>
      <c r="F202" s="87"/>
      <c r="G202" s="31"/>
    </row>
    <row r="203" spans="1:7">
      <c r="A203" s="87">
        <f t="shared" si="3"/>
        <v>202</v>
      </c>
      <c r="B203" s="219"/>
      <c r="C203" s="220"/>
      <c r="D203" s="31"/>
      <c r="E203" s="31"/>
      <c r="F203" s="87"/>
      <c r="G203" s="31"/>
    </row>
    <row r="204" spans="1:7">
      <c r="A204" s="87">
        <f t="shared" si="3"/>
        <v>203</v>
      </c>
      <c r="B204" s="219"/>
      <c r="C204" s="220"/>
      <c r="D204" s="31"/>
      <c r="E204" s="31"/>
      <c r="F204" s="87"/>
      <c r="G204" s="31"/>
    </row>
    <row r="205" spans="1:7">
      <c r="A205" s="87">
        <f t="shared" si="3"/>
        <v>204</v>
      </c>
      <c r="B205" s="219"/>
      <c r="C205" s="220"/>
      <c r="D205" s="31"/>
      <c r="E205" s="31"/>
      <c r="F205" s="87"/>
      <c r="G205" s="31"/>
    </row>
    <row r="206" spans="1:7">
      <c r="A206" s="87">
        <f t="shared" si="3"/>
        <v>205</v>
      </c>
      <c r="B206" s="222"/>
      <c r="C206" s="220"/>
      <c r="D206" s="31"/>
      <c r="E206" s="221"/>
      <c r="F206" s="87"/>
      <c r="G206" s="31"/>
    </row>
    <row r="207" spans="1:7">
      <c r="A207" s="87">
        <f t="shared" si="3"/>
        <v>206</v>
      </c>
      <c r="B207" s="222"/>
      <c r="C207" s="220"/>
      <c r="D207" s="31"/>
      <c r="E207" s="31"/>
      <c r="F207" s="87"/>
      <c r="G207" s="31"/>
    </row>
    <row r="208" spans="1:7">
      <c r="A208" s="87">
        <f t="shared" si="3"/>
        <v>207</v>
      </c>
      <c r="B208" s="222"/>
      <c r="C208" s="220"/>
      <c r="D208" s="31"/>
      <c r="E208" s="31"/>
      <c r="F208" s="87"/>
      <c r="G208" s="31"/>
    </row>
    <row r="209" spans="1:7">
      <c r="A209" s="87">
        <f t="shared" si="3"/>
        <v>208</v>
      </c>
      <c r="B209" s="222"/>
      <c r="C209" s="220"/>
      <c r="D209" s="31"/>
      <c r="E209" s="31"/>
      <c r="F209" s="87"/>
      <c r="G209" s="31"/>
    </row>
    <row r="210" spans="1:7">
      <c r="A210" s="87">
        <f t="shared" si="3"/>
        <v>209</v>
      </c>
      <c r="B210" s="219"/>
      <c r="C210" s="220"/>
      <c r="D210" s="31"/>
      <c r="E210" s="31"/>
      <c r="F210" s="87"/>
      <c r="G210" s="31"/>
    </row>
    <row r="211" spans="1:7">
      <c r="A211" s="87">
        <f t="shared" si="3"/>
        <v>210</v>
      </c>
      <c r="B211" s="219"/>
      <c r="C211" s="220"/>
      <c r="D211" s="31"/>
      <c r="E211" s="31"/>
      <c r="F211" s="87"/>
      <c r="G211" s="31"/>
    </row>
    <row r="212" spans="1:7">
      <c r="A212" s="87">
        <f t="shared" si="3"/>
        <v>211</v>
      </c>
      <c r="B212" s="219"/>
      <c r="C212" s="220"/>
      <c r="D212" s="31"/>
      <c r="E212" s="31"/>
      <c r="F212" s="87"/>
      <c r="G212" s="31"/>
    </row>
    <row r="213" spans="1:7">
      <c r="A213" s="87">
        <f t="shared" si="3"/>
        <v>212</v>
      </c>
      <c r="B213" s="219"/>
      <c r="C213" s="220"/>
      <c r="D213" s="31"/>
      <c r="E213" s="31"/>
      <c r="F213" s="87"/>
      <c r="G213" s="31"/>
    </row>
    <row r="214" spans="1:7">
      <c r="A214" s="87">
        <f t="shared" si="3"/>
        <v>213</v>
      </c>
      <c r="B214" s="219"/>
      <c r="C214" s="220"/>
      <c r="D214" s="31"/>
      <c r="E214" s="31"/>
      <c r="F214" s="87"/>
      <c r="G214" s="31"/>
    </row>
    <row r="215" spans="1:7">
      <c r="A215" s="87">
        <f t="shared" si="3"/>
        <v>214</v>
      </c>
      <c r="B215" s="219"/>
      <c r="C215" s="220"/>
      <c r="D215" s="31"/>
      <c r="E215" s="31"/>
      <c r="F215" s="87"/>
      <c r="G215" s="31"/>
    </row>
    <row r="216" spans="1:7">
      <c r="A216" s="87">
        <f t="shared" si="3"/>
        <v>215</v>
      </c>
      <c r="B216" s="219"/>
      <c r="C216" s="220"/>
      <c r="D216" s="31"/>
      <c r="E216" s="31"/>
      <c r="F216" s="87"/>
      <c r="G216" s="31"/>
    </row>
    <row r="217" spans="1:7">
      <c r="A217" s="87">
        <f t="shared" si="3"/>
        <v>216</v>
      </c>
      <c r="B217" s="219"/>
      <c r="C217" s="220"/>
      <c r="D217" s="31"/>
      <c r="E217" s="31"/>
      <c r="F217" s="87"/>
      <c r="G217" s="31"/>
    </row>
    <row r="218" spans="1:7">
      <c r="A218" s="87">
        <f t="shared" si="3"/>
        <v>217</v>
      </c>
      <c r="B218" s="219"/>
      <c r="C218" s="220"/>
      <c r="D218" s="31"/>
      <c r="E218" s="31"/>
      <c r="F218" s="87"/>
      <c r="G218" s="31"/>
    </row>
    <row r="219" spans="1:7">
      <c r="A219" s="87">
        <f t="shared" si="3"/>
        <v>218</v>
      </c>
      <c r="B219" s="219"/>
      <c r="C219" s="220"/>
      <c r="D219" s="31"/>
      <c r="E219" s="31"/>
      <c r="F219" s="87"/>
      <c r="G219" s="31"/>
    </row>
    <row r="220" spans="1:7">
      <c r="A220" s="87">
        <f t="shared" si="3"/>
        <v>219</v>
      </c>
      <c r="B220" s="219"/>
      <c r="C220" s="220"/>
      <c r="D220" s="31"/>
      <c r="E220" s="31"/>
      <c r="F220" s="87"/>
      <c r="G220" s="31"/>
    </row>
    <row r="221" spans="1:7">
      <c r="A221" s="87">
        <f t="shared" si="3"/>
        <v>220</v>
      </c>
      <c r="B221" s="219"/>
      <c r="C221" s="31"/>
      <c r="D221" s="31"/>
      <c r="E221" s="31"/>
      <c r="F221" s="87"/>
      <c r="G221" s="31"/>
    </row>
    <row r="222" spans="1:7">
      <c r="A222" s="87">
        <v>219</v>
      </c>
      <c r="B222" s="219"/>
      <c r="C222" s="220"/>
      <c r="D222" s="31"/>
      <c r="E222" s="31"/>
      <c r="F222" s="87"/>
      <c r="G222" s="31"/>
    </row>
    <row r="223" spans="1:7">
      <c r="A223" s="87">
        <v>220</v>
      </c>
      <c r="B223" s="219"/>
      <c r="C223" s="220"/>
      <c r="D223" s="31"/>
      <c r="E223" s="31"/>
      <c r="F223" s="87"/>
      <c r="G223" s="31"/>
    </row>
    <row r="224" spans="1:7">
      <c r="A224" s="87">
        <f t="shared" si="3"/>
        <v>223</v>
      </c>
      <c r="B224" s="219"/>
      <c r="C224" s="31"/>
      <c r="D224" s="31"/>
      <c r="E224" s="31"/>
      <c r="F224" s="87"/>
      <c r="G224" s="31"/>
    </row>
    <row r="225" spans="1:7">
      <c r="A225" s="87">
        <f t="shared" si="3"/>
        <v>224</v>
      </c>
      <c r="B225" s="219"/>
      <c r="C225" s="31"/>
      <c r="D225" s="31"/>
      <c r="E225" s="31"/>
      <c r="F225" s="87"/>
      <c r="G225" s="31"/>
    </row>
    <row r="226" spans="1:7">
      <c r="A226" s="87">
        <f t="shared" si="3"/>
        <v>225</v>
      </c>
      <c r="B226" s="219"/>
      <c r="C226" s="31"/>
      <c r="D226" s="31"/>
      <c r="E226" s="31"/>
      <c r="F226" s="87"/>
      <c r="G226" s="31"/>
    </row>
    <row r="227" spans="1:7">
      <c r="A227" s="87">
        <f t="shared" si="3"/>
        <v>226</v>
      </c>
      <c r="B227" s="219"/>
      <c r="C227" s="31"/>
      <c r="D227" s="31"/>
      <c r="E227" s="31"/>
      <c r="F227" s="87"/>
      <c r="G227" s="31"/>
    </row>
    <row r="228" spans="1:7">
      <c r="A228" s="87">
        <f t="shared" si="3"/>
        <v>227</v>
      </c>
      <c r="B228" s="219"/>
      <c r="C228" s="31"/>
      <c r="D228" s="31"/>
      <c r="E228" s="31"/>
      <c r="F228" s="87"/>
      <c r="G228" s="31"/>
    </row>
    <row r="229" spans="1:7">
      <c r="A229" s="87">
        <f t="shared" si="3"/>
        <v>228</v>
      </c>
      <c r="B229" s="219"/>
      <c r="C229" s="31"/>
      <c r="D229" s="31"/>
      <c r="E229" s="31"/>
      <c r="F229" s="87"/>
      <c r="G229" s="31"/>
    </row>
    <row r="230" spans="1:7">
      <c r="A230" s="87">
        <f t="shared" si="3"/>
        <v>229</v>
      </c>
      <c r="B230" s="219"/>
      <c r="C230" s="31"/>
      <c r="D230" s="31"/>
      <c r="E230" s="31"/>
      <c r="F230" s="87"/>
      <c r="G230" s="31"/>
    </row>
    <row r="231" spans="1:7">
      <c r="A231" s="87">
        <f t="shared" si="3"/>
        <v>230</v>
      </c>
      <c r="B231" s="219"/>
      <c r="C231" s="31"/>
      <c r="D231" s="31"/>
      <c r="E231" s="31"/>
      <c r="F231" s="87"/>
      <c r="G231" s="31"/>
    </row>
    <row r="232" spans="1:7">
      <c r="A232" s="87">
        <f t="shared" ref="A232:A322" si="4">ROW()-1</f>
        <v>231</v>
      </c>
      <c r="B232" s="219"/>
      <c r="C232" s="31"/>
      <c r="D232" s="31"/>
      <c r="E232" s="31"/>
      <c r="F232" s="87"/>
      <c r="G232" s="31"/>
    </row>
    <row r="233" spans="1:7">
      <c r="A233" s="52">
        <f t="shared" si="4"/>
        <v>232</v>
      </c>
      <c r="B233" s="223"/>
      <c r="C233" s="224"/>
      <c r="D233" s="32"/>
      <c r="E233" s="32"/>
      <c r="F233" s="52"/>
      <c r="G233" s="32"/>
    </row>
    <row r="234" spans="1:7">
      <c r="A234" s="87">
        <f t="shared" si="4"/>
        <v>233</v>
      </c>
      <c r="B234" s="219"/>
      <c r="C234" s="220"/>
      <c r="D234" s="31"/>
      <c r="E234" s="31"/>
      <c r="F234" s="87"/>
      <c r="G234" s="31"/>
    </row>
    <row r="235" spans="1:7">
      <c r="A235" s="87">
        <f t="shared" si="4"/>
        <v>234</v>
      </c>
      <c r="B235" s="219"/>
      <c r="C235" s="220"/>
      <c r="D235" s="31"/>
      <c r="E235" s="31"/>
      <c r="F235" s="87"/>
      <c r="G235" s="31"/>
    </row>
    <row r="236" spans="1:7">
      <c r="A236" s="87">
        <f t="shared" si="4"/>
        <v>235</v>
      </c>
      <c r="B236" s="219"/>
      <c r="C236" s="31"/>
      <c r="D236" s="31"/>
      <c r="E236" s="31"/>
      <c r="F236" s="87"/>
      <c r="G236" s="31"/>
    </row>
    <row r="237" spans="1:7">
      <c r="A237" s="87">
        <f t="shared" si="4"/>
        <v>236</v>
      </c>
      <c r="B237" s="219"/>
      <c r="C237" s="31"/>
      <c r="D237" s="31"/>
      <c r="E237" s="31"/>
      <c r="F237" s="87"/>
      <c r="G237" s="31"/>
    </row>
    <row r="238" spans="1:7">
      <c r="A238" s="87">
        <f t="shared" si="4"/>
        <v>237</v>
      </c>
      <c r="B238" s="219"/>
      <c r="C238" s="31"/>
      <c r="D238" s="31"/>
      <c r="E238" s="31"/>
      <c r="F238" s="87"/>
      <c r="G238" s="31"/>
    </row>
    <row r="239" spans="1:7">
      <c r="A239" s="87">
        <f t="shared" si="4"/>
        <v>238</v>
      </c>
      <c r="B239" s="219"/>
      <c r="C239" s="31"/>
      <c r="D239" s="31"/>
      <c r="E239" s="31"/>
      <c r="F239" s="87"/>
      <c r="G239" s="31"/>
    </row>
    <row r="240" spans="1:7">
      <c r="A240" s="87">
        <f t="shared" si="4"/>
        <v>239</v>
      </c>
      <c r="B240" s="219"/>
      <c r="C240" s="31"/>
      <c r="D240" s="31"/>
      <c r="E240" s="31"/>
      <c r="F240" s="87"/>
      <c r="G240" s="31"/>
    </row>
    <row r="241" spans="1:7">
      <c r="A241" s="87">
        <f t="shared" si="4"/>
        <v>240</v>
      </c>
      <c r="B241" s="219"/>
      <c r="C241" s="220"/>
      <c r="D241" s="31"/>
      <c r="E241" s="31"/>
      <c r="F241" s="87"/>
      <c r="G241" s="31"/>
    </row>
    <row r="242" spans="1:7">
      <c r="A242" s="87">
        <f t="shared" si="4"/>
        <v>241</v>
      </c>
      <c r="B242" s="219"/>
      <c r="C242" s="31"/>
      <c r="D242" s="31"/>
      <c r="E242" s="31"/>
      <c r="F242" s="87"/>
      <c r="G242" s="31"/>
    </row>
    <row r="243" spans="1:7">
      <c r="A243" s="87">
        <f t="shared" si="4"/>
        <v>242</v>
      </c>
      <c r="B243" s="219"/>
      <c r="C243" s="31"/>
      <c r="D243" s="31"/>
      <c r="E243" s="31"/>
      <c r="F243" s="87"/>
      <c r="G243" s="31"/>
    </row>
    <row r="244" spans="1:7">
      <c r="A244" s="87">
        <f t="shared" si="4"/>
        <v>243</v>
      </c>
      <c r="B244" s="219"/>
      <c r="C244" s="31"/>
      <c r="D244" s="31"/>
      <c r="E244" s="31"/>
      <c r="F244" s="87"/>
      <c r="G244" s="31"/>
    </row>
    <row r="245" spans="1:7">
      <c r="A245" s="87">
        <f t="shared" si="4"/>
        <v>244</v>
      </c>
      <c r="B245" s="219"/>
      <c r="C245" s="31"/>
      <c r="D245" s="31"/>
      <c r="E245" s="31"/>
      <c r="F245" s="87"/>
      <c r="G245" s="31"/>
    </row>
    <row r="246" spans="1:7">
      <c r="A246" s="87">
        <f t="shared" si="4"/>
        <v>245</v>
      </c>
      <c r="B246" s="219"/>
      <c r="C246" s="31"/>
      <c r="D246" s="31"/>
      <c r="E246" s="31"/>
      <c r="F246" s="87"/>
      <c r="G246" s="31"/>
    </row>
    <row r="247" spans="1:7">
      <c r="A247" s="87">
        <f t="shared" si="4"/>
        <v>246</v>
      </c>
      <c r="B247" s="219"/>
      <c r="C247" s="220"/>
      <c r="D247" s="31"/>
      <c r="E247" s="31"/>
      <c r="F247" s="87"/>
      <c r="G247" s="31"/>
    </row>
    <row r="248" spans="1:7">
      <c r="A248" s="87">
        <f t="shared" si="4"/>
        <v>247</v>
      </c>
      <c r="B248" s="219"/>
      <c r="C248" s="220"/>
      <c r="D248" s="31"/>
      <c r="E248" s="31"/>
      <c r="F248" s="87"/>
      <c r="G248" s="31"/>
    </row>
    <row r="249" spans="1:7">
      <c r="A249" s="87">
        <f t="shared" si="4"/>
        <v>248</v>
      </c>
      <c r="B249" s="219"/>
      <c r="C249" s="220"/>
      <c r="D249" s="31"/>
      <c r="E249" s="31"/>
      <c r="F249" s="87"/>
      <c r="G249" s="31"/>
    </row>
    <row r="250" spans="1:7">
      <c r="A250" s="87">
        <f t="shared" si="4"/>
        <v>249</v>
      </c>
      <c r="B250" s="219"/>
      <c r="C250" s="220"/>
      <c r="D250" s="31"/>
      <c r="E250" s="31"/>
      <c r="F250" s="87"/>
      <c r="G250" s="31"/>
    </row>
    <row r="251" spans="1:7">
      <c r="A251" s="52">
        <f t="shared" si="4"/>
        <v>250</v>
      </c>
      <c r="B251" s="219"/>
      <c r="C251" s="220"/>
      <c r="D251" s="31"/>
      <c r="E251" s="31"/>
      <c r="F251" s="87"/>
      <c r="G251" s="31"/>
    </row>
    <row r="252" spans="1:7">
      <c r="A252" s="52">
        <f t="shared" si="4"/>
        <v>251</v>
      </c>
      <c r="B252" s="219"/>
      <c r="C252" s="220"/>
      <c r="D252" s="31"/>
      <c r="E252" s="31"/>
      <c r="F252" s="87"/>
      <c r="G252" s="31"/>
    </row>
    <row r="253" spans="1:7">
      <c r="A253" s="52">
        <f t="shared" si="4"/>
        <v>252</v>
      </c>
      <c r="B253" s="219"/>
      <c r="C253" s="220"/>
      <c r="D253" s="31"/>
      <c r="E253" s="31"/>
      <c r="F253" s="87"/>
      <c r="G253" s="31"/>
    </row>
    <row r="254" spans="1:7">
      <c r="A254" s="52">
        <f t="shared" si="4"/>
        <v>253</v>
      </c>
      <c r="B254" s="219"/>
      <c r="C254" s="220"/>
      <c r="D254" s="31"/>
      <c r="E254" s="31"/>
      <c r="F254" s="87"/>
      <c r="G254" s="31"/>
    </row>
    <row r="255" spans="1:7">
      <c r="A255" s="52">
        <f t="shared" si="4"/>
        <v>254</v>
      </c>
      <c r="B255" s="219"/>
      <c r="C255" s="220"/>
      <c r="D255" s="31"/>
      <c r="E255" s="31"/>
      <c r="F255" s="87"/>
      <c r="G255" s="31"/>
    </row>
    <row r="256" spans="1:7">
      <c r="A256" s="52">
        <f t="shared" si="4"/>
        <v>255</v>
      </c>
      <c r="B256" s="219"/>
      <c r="C256" s="224"/>
      <c r="D256" s="32"/>
      <c r="E256" s="32"/>
      <c r="F256" s="52"/>
      <c r="G256" s="32"/>
    </row>
    <row r="257" spans="1:7">
      <c r="A257" s="52">
        <f t="shared" si="4"/>
        <v>256</v>
      </c>
      <c r="B257" s="219"/>
      <c r="C257" s="220"/>
      <c r="D257" s="31"/>
      <c r="E257" s="31"/>
      <c r="F257" s="87"/>
      <c r="G257" s="31"/>
    </row>
    <row r="258" spans="1:7">
      <c r="A258" s="52">
        <f t="shared" si="4"/>
        <v>257</v>
      </c>
      <c r="B258" s="219"/>
      <c r="C258" s="220"/>
      <c r="D258" s="31"/>
      <c r="E258" s="31"/>
      <c r="F258" s="87"/>
      <c r="G258" s="31"/>
    </row>
    <row r="259" spans="1:7">
      <c r="A259" s="52">
        <f t="shared" si="4"/>
        <v>258</v>
      </c>
      <c r="B259" s="219"/>
      <c r="C259" s="220"/>
      <c r="D259" s="31"/>
      <c r="E259" s="31"/>
      <c r="F259" s="87"/>
      <c r="G259" s="31"/>
    </row>
    <row r="260" spans="1:7">
      <c r="A260" s="52">
        <f t="shared" si="4"/>
        <v>259</v>
      </c>
      <c r="B260" s="219"/>
      <c r="C260" s="220"/>
      <c r="D260" s="31"/>
      <c r="E260" s="31"/>
      <c r="F260" s="87"/>
      <c r="G260" s="31"/>
    </row>
    <row r="261" spans="1:7">
      <c r="A261" s="52">
        <f t="shared" si="4"/>
        <v>260</v>
      </c>
      <c r="B261" s="219"/>
      <c r="C261" s="220"/>
      <c r="D261" s="31"/>
      <c r="E261" s="31"/>
      <c r="F261" s="87"/>
      <c r="G261" s="31"/>
    </row>
    <row r="262" spans="1:7">
      <c r="A262" s="52">
        <f t="shared" si="4"/>
        <v>261</v>
      </c>
      <c r="B262" s="219"/>
      <c r="C262" s="220"/>
      <c r="D262" s="31"/>
      <c r="E262" s="31"/>
      <c r="F262" s="87"/>
      <c r="G262" s="31"/>
    </row>
    <row r="263" spans="1:7">
      <c r="A263" s="52">
        <f t="shared" si="4"/>
        <v>262</v>
      </c>
      <c r="B263" s="219"/>
      <c r="C263" s="220"/>
      <c r="D263" s="31"/>
      <c r="E263" s="31"/>
      <c r="F263" s="87"/>
      <c r="G263" s="31"/>
    </row>
    <row r="264" spans="1:7">
      <c r="A264" s="52">
        <f t="shared" si="4"/>
        <v>263</v>
      </c>
      <c r="B264" s="219"/>
      <c r="C264" s="220"/>
      <c r="D264" s="31"/>
      <c r="E264" s="31"/>
      <c r="F264" s="87"/>
      <c r="G264" s="31"/>
    </row>
    <row r="265" spans="1:7">
      <c r="A265" s="52">
        <f t="shared" si="4"/>
        <v>264</v>
      </c>
      <c r="B265" s="219"/>
      <c r="C265" s="220"/>
      <c r="D265" s="31"/>
      <c r="E265" s="31"/>
      <c r="F265" s="87"/>
      <c r="G265" s="31"/>
    </row>
    <row r="266" spans="1:7">
      <c r="A266" s="52">
        <f t="shared" si="4"/>
        <v>265</v>
      </c>
      <c r="B266" s="219"/>
      <c r="C266" s="220"/>
      <c r="D266" s="31"/>
      <c r="E266" s="31"/>
      <c r="F266" s="87"/>
      <c r="G266" s="31"/>
    </row>
    <row r="267" spans="1:7">
      <c r="A267" s="52">
        <f t="shared" si="4"/>
        <v>266</v>
      </c>
      <c r="B267" s="219"/>
      <c r="C267" s="220"/>
      <c r="D267" s="31"/>
      <c r="E267" s="31"/>
      <c r="F267" s="87"/>
      <c r="G267" s="31"/>
    </row>
    <row r="268" spans="1:7">
      <c r="A268" s="52">
        <f t="shared" si="4"/>
        <v>267</v>
      </c>
      <c r="B268" s="219"/>
      <c r="C268" s="220"/>
      <c r="D268" s="31"/>
      <c r="E268" s="31"/>
      <c r="F268" s="87"/>
      <c r="G268" s="31"/>
    </row>
    <row r="269" spans="1:7">
      <c r="A269" s="52">
        <f t="shared" si="4"/>
        <v>268</v>
      </c>
      <c r="B269" s="219"/>
      <c r="C269" s="220"/>
      <c r="D269" s="31"/>
      <c r="E269" s="31"/>
      <c r="F269" s="87"/>
      <c r="G269" s="31"/>
    </row>
    <row r="270" spans="1:7">
      <c r="A270" s="52">
        <f t="shared" si="4"/>
        <v>269</v>
      </c>
      <c r="B270" s="219"/>
      <c r="C270" s="220"/>
      <c r="D270" s="31"/>
      <c r="E270" s="31"/>
      <c r="F270" s="87"/>
      <c r="G270" s="31"/>
    </row>
    <row r="271" spans="1:7">
      <c r="A271" s="52">
        <f t="shared" si="4"/>
        <v>270</v>
      </c>
      <c r="B271" s="219"/>
      <c r="C271" s="220"/>
      <c r="D271" s="31"/>
      <c r="E271" s="31"/>
      <c r="F271" s="87"/>
      <c r="G271" s="31"/>
    </row>
    <row r="272" spans="1:7">
      <c r="A272" s="87">
        <f t="shared" si="4"/>
        <v>271</v>
      </c>
      <c r="B272" s="219"/>
      <c r="C272" s="220"/>
      <c r="D272" s="31"/>
      <c r="E272" s="31"/>
      <c r="F272" s="87"/>
      <c r="G272" s="31"/>
    </row>
    <row r="273" spans="1:7">
      <c r="A273" s="87">
        <f t="shared" si="4"/>
        <v>272</v>
      </c>
      <c r="B273" s="219"/>
      <c r="C273" s="220"/>
      <c r="D273" s="31"/>
      <c r="E273" s="31"/>
      <c r="F273" s="87"/>
      <c r="G273" s="31"/>
    </row>
    <row r="274" spans="1:7">
      <c r="A274" s="87">
        <f t="shared" si="4"/>
        <v>273</v>
      </c>
      <c r="B274" s="219"/>
      <c r="C274" s="220"/>
      <c r="D274" s="31"/>
      <c r="E274" s="31"/>
      <c r="F274" s="87"/>
      <c r="G274" s="31"/>
    </row>
    <row r="275" spans="1:7">
      <c r="A275" s="87">
        <f t="shared" si="4"/>
        <v>274</v>
      </c>
      <c r="B275" s="219"/>
      <c r="C275" s="220"/>
      <c r="D275" s="31"/>
      <c r="E275" s="31"/>
      <c r="F275" s="87"/>
      <c r="G275" s="31"/>
    </row>
    <row r="276" spans="1:7">
      <c r="A276" s="87">
        <f t="shared" si="4"/>
        <v>275</v>
      </c>
      <c r="B276" s="219"/>
      <c r="C276" s="220"/>
      <c r="D276" s="31"/>
      <c r="E276" s="31"/>
      <c r="F276" s="87"/>
      <c r="G276" s="31"/>
    </row>
    <row r="277" spans="1:7">
      <c r="A277" s="87">
        <f t="shared" si="4"/>
        <v>276</v>
      </c>
      <c r="B277" s="219"/>
      <c r="C277" s="220"/>
      <c r="D277" s="31"/>
      <c r="E277" s="31"/>
      <c r="F277" s="87"/>
      <c r="G277" s="31"/>
    </row>
    <row r="278" spans="1:7">
      <c r="A278" s="87">
        <f t="shared" si="4"/>
        <v>277</v>
      </c>
      <c r="B278" s="219"/>
      <c r="C278" s="220"/>
      <c r="D278" s="31"/>
      <c r="E278" s="31"/>
      <c r="F278" s="87"/>
      <c r="G278" s="31"/>
    </row>
    <row r="279" spans="1:7">
      <c r="A279" s="87">
        <f t="shared" si="4"/>
        <v>278</v>
      </c>
      <c r="B279" s="219"/>
      <c r="C279" s="220"/>
      <c r="D279" s="31"/>
      <c r="E279" s="31"/>
      <c r="F279" s="87"/>
      <c r="G279" s="31"/>
    </row>
    <row r="280" spans="1:7">
      <c r="A280" s="87">
        <f t="shared" si="4"/>
        <v>279</v>
      </c>
      <c r="B280" s="219"/>
      <c r="C280" s="220"/>
      <c r="D280" s="31"/>
      <c r="E280" s="31"/>
      <c r="F280" s="87"/>
      <c r="G280" s="31"/>
    </row>
    <row r="281" spans="1:7">
      <c r="A281" s="87">
        <f t="shared" si="4"/>
        <v>280</v>
      </c>
      <c r="B281" s="219"/>
      <c r="C281" s="220"/>
      <c r="D281" s="31"/>
      <c r="E281" s="31"/>
      <c r="F281" s="87"/>
      <c r="G281" s="31"/>
    </row>
    <row r="282" spans="1:7">
      <c r="A282" s="87">
        <f t="shared" si="4"/>
        <v>281</v>
      </c>
      <c r="B282" s="219"/>
      <c r="C282" s="220"/>
      <c r="D282" s="31"/>
      <c r="E282" s="31"/>
      <c r="F282" s="87"/>
      <c r="G282" s="31"/>
    </row>
    <row r="283" spans="1:7">
      <c r="A283" s="87">
        <f t="shared" si="4"/>
        <v>282</v>
      </c>
      <c r="B283" s="219"/>
      <c r="C283" s="220"/>
      <c r="D283" s="31"/>
      <c r="E283" s="31"/>
      <c r="F283" s="87"/>
      <c r="G283" s="31"/>
    </row>
    <row r="284" spans="1:7">
      <c r="A284" s="87">
        <f t="shared" si="4"/>
        <v>283</v>
      </c>
      <c r="B284" s="219"/>
      <c r="C284" s="220"/>
      <c r="D284" s="31"/>
      <c r="E284" s="31"/>
      <c r="F284" s="87"/>
      <c r="G284" s="31"/>
    </row>
    <row r="285" spans="1:7">
      <c r="A285" s="87">
        <f t="shared" si="4"/>
        <v>284</v>
      </c>
      <c r="B285" s="219"/>
      <c r="C285" s="220"/>
      <c r="D285" s="31"/>
      <c r="E285" s="31"/>
      <c r="F285" s="87"/>
      <c r="G285" s="31"/>
    </row>
    <row r="286" spans="1:7">
      <c r="A286" s="87">
        <f t="shared" si="4"/>
        <v>285</v>
      </c>
      <c r="B286" s="219"/>
      <c r="C286" s="220"/>
      <c r="D286" s="31"/>
      <c r="E286" s="31"/>
      <c r="F286" s="87"/>
      <c r="G286" s="31"/>
    </row>
    <row r="287" spans="1:8">
      <c r="A287" s="87">
        <f t="shared" si="4"/>
        <v>286</v>
      </c>
      <c r="B287" s="219"/>
      <c r="C287" s="220"/>
      <c r="D287" s="31"/>
      <c r="E287" s="31"/>
      <c r="F287" s="87"/>
      <c r="G287" s="31"/>
      <c r="H287" s="145"/>
    </row>
    <row r="288" spans="1:8">
      <c r="A288" s="87">
        <f t="shared" si="4"/>
        <v>287</v>
      </c>
      <c r="B288" s="219"/>
      <c r="C288" s="220"/>
      <c r="D288" s="31"/>
      <c r="E288" s="31"/>
      <c r="F288" s="87"/>
      <c r="G288" s="31"/>
      <c r="H288" s="145"/>
    </row>
    <row r="289" spans="1:8">
      <c r="A289" s="87">
        <f t="shared" si="4"/>
        <v>288</v>
      </c>
      <c r="B289" s="219"/>
      <c r="C289" s="220"/>
      <c r="D289" s="31"/>
      <c r="E289" s="31"/>
      <c r="F289" s="87"/>
      <c r="G289" s="31"/>
      <c r="H289" s="145"/>
    </row>
    <row r="290" spans="1:8">
      <c r="A290" s="87">
        <f t="shared" si="4"/>
        <v>289</v>
      </c>
      <c r="B290" s="219"/>
      <c r="C290" s="220"/>
      <c r="D290" s="31"/>
      <c r="E290" s="31"/>
      <c r="F290" s="87"/>
      <c r="G290" s="31"/>
      <c r="H290" s="145"/>
    </row>
    <row r="291" spans="1:8">
      <c r="A291" s="87">
        <f t="shared" si="4"/>
        <v>290</v>
      </c>
      <c r="B291" s="219"/>
      <c r="C291" s="220"/>
      <c r="D291" s="31"/>
      <c r="E291" s="31"/>
      <c r="F291" s="87"/>
      <c r="G291" s="31"/>
      <c r="H291" s="145"/>
    </row>
    <row r="292" spans="1:7">
      <c r="A292" s="87">
        <f t="shared" si="4"/>
        <v>291</v>
      </c>
      <c r="B292" s="219"/>
      <c r="C292" s="220"/>
      <c r="D292" s="31"/>
      <c r="E292" s="31"/>
      <c r="F292" s="87"/>
      <c r="G292" s="31"/>
    </row>
    <row r="293" spans="1:7">
      <c r="A293" s="87">
        <f t="shared" si="4"/>
        <v>292</v>
      </c>
      <c r="B293" s="219"/>
      <c r="C293" s="220"/>
      <c r="D293" s="31"/>
      <c r="E293" s="31"/>
      <c r="F293" s="87"/>
      <c r="G293" s="31"/>
    </row>
    <row r="294" spans="1:7">
      <c r="A294" s="87">
        <f t="shared" si="4"/>
        <v>293</v>
      </c>
      <c r="B294" s="219"/>
      <c r="C294" s="220"/>
      <c r="D294" s="31"/>
      <c r="E294" s="31"/>
      <c r="F294" s="87"/>
      <c r="G294" s="31"/>
    </row>
    <row r="295" spans="1:7">
      <c r="A295" s="87">
        <f t="shared" si="4"/>
        <v>294</v>
      </c>
      <c r="B295" s="219"/>
      <c r="C295" s="220"/>
      <c r="D295" s="31"/>
      <c r="E295" s="31"/>
      <c r="F295" s="87"/>
      <c r="G295" s="31"/>
    </row>
    <row r="296" spans="1:7">
      <c r="A296" s="87">
        <f t="shared" si="4"/>
        <v>295</v>
      </c>
      <c r="B296" s="219"/>
      <c r="C296" s="220"/>
      <c r="D296" s="31"/>
      <c r="E296" s="31"/>
      <c r="F296" s="87"/>
      <c r="G296" s="31"/>
    </row>
    <row r="297" spans="1:7">
      <c r="A297" s="87">
        <f t="shared" si="4"/>
        <v>296</v>
      </c>
      <c r="B297" s="219"/>
      <c r="C297" s="220"/>
      <c r="D297" s="31"/>
      <c r="E297" s="31"/>
      <c r="F297" s="87"/>
      <c r="G297" s="31"/>
    </row>
    <row r="298" spans="1:7">
      <c r="A298" s="87">
        <f t="shared" si="4"/>
        <v>297</v>
      </c>
      <c r="B298" s="219"/>
      <c r="C298" s="220"/>
      <c r="D298" s="31"/>
      <c r="E298" s="31"/>
      <c r="F298" s="87"/>
      <c r="G298" s="31"/>
    </row>
    <row r="299" spans="1:7">
      <c r="A299" s="87">
        <f t="shared" si="4"/>
        <v>298</v>
      </c>
      <c r="B299" s="219"/>
      <c r="C299" s="220"/>
      <c r="D299" s="31"/>
      <c r="E299" s="31"/>
      <c r="F299" s="87"/>
      <c r="G299" s="31"/>
    </row>
    <row r="300" spans="1:7">
      <c r="A300" s="87">
        <f t="shared" si="4"/>
        <v>299</v>
      </c>
      <c r="B300" s="219"/>
      <c r="C300" s="220"/>
      <c r="D300" s="31"/>
      <c r="E300" s="31"/>
      <c r="F300" s="87"/>
      <c r="G300" s="31"/>
    </row>
    <row r="301" spans="1:7">
      <c r="A301" s="87">
        <f t="shared" si="4"/>
        <v>300</v>
      </c>
      <c r="B301" s="219"/>
      <c r="C301" s="220"/>
      <c r="D301" s="31"/>
      <c r="E301" s="31"/>
      <c r="F301" s="87"/>
      <c r="G301" s="31"/>
    </row>
    <row r="302" spans="1:7">
      <c r="A302" s="87">
        <f t="shared" si="4"/>
        <v>301</v>
      </c>
      <c r="B302" s="219"/>
      <c r="C302" s="220"/>
      <c r="D302" s="31"/>
      <c r="E302" s="31"/>
      <c r="F302" s="87"/>
      <c r="G302" s="31"/>
    </row>
    <row r="303" spans="1:7">
      <c r="A303" s="87">
        <f t="shared" si="4"/>
        <v>302</v>
      </c>
      <c r="B303" s="219"/>
      <c r="C303" s="220"/>
      <c r="D303" s="31"/>
      <c r="E303" s="31"/>
      <c r="F303" s="87"/>
      <c r="G303" s="31"/>
    </row>
    <row r="304" spans="1:7">
      <c r="A304" s="87">
        <f t="shared" si="4"/>
        <v>303</v>
      </c>
      <c r="B304" s="219"/>
      <c r="C304" s="220"/>
      <c r="D304" s="31"/>
      <c r="E304" s="31"/>
      <c r="F304" s="87"/>
      <c r="G304" s="31"/>
    </row>
    <row r="305" spans="1:7">
      <c r="A305" s="87">
        <f t="shared" si="4"/>
        <v>304</v>
      </c>
      <c r="B305" s="219"/>
      <c r="C305" s="220"/>
      <c r="D305" s="31"/>
      <c r="E305" s="31"/>
      <c r="F305" s="87"/>
      <c r="G305" s="31"/>
    </row>
    <row r="306" spans="1:7">
      <c r="A306" s="87">
        <f t="shared" si="4"/>
        <v>305</v>
      </c>
      <c r="B306" s="219"/>
      <c r="C306" s="220"/>
      <c r="D306" s="31"/>
      <c r="E306" s="31"/>
      <c r="F306" s="87"/>
      <c r="G306" s="31"/>
    </row>
    <row r="307" spans="1:7">
      <c r="A307" s="87">
        <f t="shared" si="4"/>
        <v>306</v>
      </c>
      <c r="B307" s="219"/>
      <c r="C307" s="220"/>
      <c r="D307" s="31"/>
      <c r="E307" s="31"/>
      <c r="F307" s="87"/>
      <c r="G307" s="31"/>
    </row>
    <row r="308" spans="1:7">
      <c r="A308" s="87">
        <f t="shared" si="4"/>
        <v>307</v>
      </c>
      <c r="B308" s="219"/>
      <c r="C308" s="220"/>
      <c r="D308" s="31"/>
      <c r="E308" s="31"/>
      <c r="F308" s="87"/>
      <c r="G308" s="31"/>
    </row>
    <row r="309" spans="1:7">
      <c r="A309" s="87">
        <f t="shared" si="4"/>
        <v>308</v>
      </c>
      <c r="B309" s="219"/>
      <c r="C309" s="220"/>
      <c r="D309" s="31"/>
      <c r="E309" s="31"/>
      <c r="F309" s="87"/>
      <c r="G309" s="31"/>
    </row>
    <row r="310" spans="1:7">
      <c r="A310" s="87">
        <f t="shared" si="4"/>
        <v>309</v>
      </c>
      <c r="B310" s="219"/>
      <c r="C310" s="220"/>
      <c r="D310" s="31"/>
      <c r="E310" s="31"/>
      <c r="F310" s="87"/>
      <c r="G310" s="31"/>
    </row>
    <row r="311" spans="1:7">
      <c r="A311" s="87">
        <f t="shared" si="4"/>
        <v>310</v>
      </c>
      <c r="B311" s="219"/>
      <c r="C311" s="220"/>
      <c r="D311" s="31"/>
      <c r="E311" s="31"/>
      <c r="F311" s="87"/>
      <c r="G311" s="31"/>
    </row>
    <row r="312" spans="1:7">
      <c r="A312" s="87">
        <f t="shared" si="4"/>
        <v>311</v>
      </c>
      <c r="B312" s="219"/>
      <c r="C312" s="220"/>
      <c r="D312" s="31"/>
      <c r="E312" s="31"/>
      <c r="F312" s="87"/>
      <c r="G312" s="31"/>
    </row>
    <row r="313" spans="1:7">
      <c r="A313" s="87">
        <f t="shared" si="4"/>
        <v>312</v>
      </c>
      <c r="B313" s="219"/>
      <c r="C313" s="220"/>
      <c r="D313" s="31"/>
      <c r="E313" s="31"/>
      <c r="F313" s="87"/>
      <c r="G313" s="31"/>
    </row>
    <row r="314" spans="1:7">
      <c r="A314" s="87">
        <f t="shared" si="4"/>
        <v>313</v>
      </c>
      <c r="B314" s="219"/>
      <c r="C314" s="220"/>
      <c r="D314" s="31"/>
      <c r="E314" s="31"/>
      <c r="F314" s="87"/>
      <c r="G314" s="31"/>
    </row>
    <row r="315" spans="1:7">
      <c r="A315" s="87">
        <f t="shared" si="4"/>
        <v>314</v>
      </c>
      <c r="B315" s="219"/>
      <c r="C315" s="220"/>
      <c r="D315" s="31"/>
      <c r="E315" s="31"/>
      <c r="F315" s="87"/>
      <c r="G315" s="31"/>
    </row>
    <row r="316" spans="1:7">
      <c r="A316" s="87">
        <f t="shared" si="4"/>
        <v>315</v>
      </c>
      <c r="B316" s="219"/>
      <c r="C316" s="220"/>
      <c r="D316" s="31"/>
      <c r="E316" s="31"/>
      <c r="F316" s="87"/>
      <c r="G316" s="31"/>
    </row>
    <row r="317" spans="1:7">
      <c r="A317" s="87">
        <f t="shared" si="4"/>
        <v>316</v>
      </c>
      <c r="B317" s="219"/>
      <c r="C317" s="220"/>
      <c r="D317" s="31"/>
      <c r="E317" s="221"/>
      <c r="F317" s="87"/>
      <c r="G317" s="31"/>
    </row>
    <row r="318" spans="1:7">
      <c r="A318" s="87">
        <f t="shared" si="4"/>
        <v>317</v>
      </c>
      <c r="B318" s="219"/>
      <c r="C318" s="220"/>
      <c r="D318" s="31"/>
      <c r="E318" s="31"/>
      <c r="F318" s="87"/>
      <c r="G318" s="31"/>
    </row>
    <row r="319" spans="1:7">
      <c r="A319" s="87">
        <f t="shared" si="4"/>
        <v>318</v>
      </c>
      <c r="B319" s="219"/>
      <c r="C319" s="220"/>
      <c r="D319" s="31"/>
      <c r="E319" s="31"/>
      <c r="F319" s="87"/>
      <c r="G319" s="31"/>
    </row>
    <row r="320" spans="1:7">
      <c r="A320" s="87">
        <f t="shared" si="4"/>
        <v>319</v>
      </c>
      <c r="B320" s="219"/>
      <c r="C320" s="220"/>
      <c r="D320" s="31"/>
      <c r="E320" s="31"/>
      <c r="F320" s="87"/>
      <c r="G320" s="31"/>
    </row>
    <row r="321" spans="1:7">
      <c r="A321" s="87">
        <f t="shared" si="4"/>
        <v>320</v>
      </c>
      <c r="B321" s="219"/>
      <c r="C321" s="220"/>
      <c r="D321" s="31"/>
      <c r="E321" s="31"/>
      <c r="F321" s="87"/>
      <c r="G321" s="31"/>
    </row>
    <row r="322" spans="1:7">
      <c r="A322" s="87">
        <f t="shared" si="4"/>
        <v>321</v>
      </c>
      <c r="B322" s="219"/>
      <c r="C322" s="220"/>
      <c r="D322" s="31"/>
      <c r="E322" s="31"/>
      <c r="F322" s="87"/>
      <c r="G322" s="31"/>
    </row>
    <row r="323" spans="1:7">
      <c r="A323" s="87">
        <f t="shared" ref="A323:A331" si="5">ROW()-1</f>
        <v>322</v>
      </c>
      <c r="B323" s="219"/>
      <c r="C323" s="220"/>
      <c r="D323" s="31"/>
      <c r="E323" s="31"/>
      <c r="F323" s="87"/>
      <c r="G323" s="31"/>
    </row>
    <row r="324" spans="1:7">
      <c r="A324" s="87">
        <f t="shared" si="5"/>
        <v>323</v>
      </c>
      <c r="B324" s="219"/>
      <c r="C324" s="220"/>
      <c r="D324" s="31"/>
      <c r="E324" s="31"/>
      <c r="F324" s="87"/>
      <c r="G324" s="31"/>
    </row>
    <row r="325" spans="1:7">
      <c r="A325" s="87">
        <f t="shared" si="5"/>
        <v>324</v>
      </c>
      <c r="B325" s="219"/>
      <c r="C325" s="220"/>
      <c r="D325" s="31"/>
      <c r="E325" s="31"/>
      <c r="F325" s="87"/>
      <c r="G325" s="31"/>
    </row>
    <row r="326" spans="1:7">
      <c r="A326" s="87">
        <f t="shared" si="5"/>
        <v>325</v>
      </c>
      <c r="B326" s="219"/>
      <c r="C326" s="220"/>
      <c r="D326" s="31"/>
      <c r="E326" s="31"/>
      <c r="F326" s="87"/>
      <c r="G326" s="31"/>
    </row>
    <row r="327" spans="1:7">
      <c r="A327" s="87">
        <f t="shared" si="5"/>
        <v>326</v>
      </c>
      <c r="B327" s="219"/>
      <c r="C327" s="220"/>
      <c r="D327" s="31"/>
      <c r="E327" s="31"/>
      <c r="F327" s="87"/>
      <c r="G327" s="31"/>
    </row>
    <row r="328" spans="1:7">
      <c r="A328" s="87">
        <f t="shared" si="5"/>
        <v>327</v>
      </c>
      <c r="B328" s="219"/>
      <c r="C328" s="220"/>
      <c r="D328" s="31"/>
      <c r="E328" s="31"/>
      <c r="F328" s="87"/>
      <c r="G328" s="31"/>
    </row>
    <row r="329" spans="1:7">
      <c r="A329" s="87">
        <f t="shared" si="5"/>
        <v>328</v>
      </c>
      <c r="B329" s="219"/>
      <c r="C329" s="220"/>
      <c r="D329" s="31"/>
      <c r="E329" s="31"/>
      <c r="F329" s="87"/>
      <c r="G329" s="31"/>
    </row>
    <row r="330" spans="1:7">
      <c r="A330" s="87">
        <f t="shared" si="5"/>
        <v>329</v>
      </c>
      <c r="B330" s="219"/>
      <c r="C330" s="220"/>
      <c r="D330" s="31"/>
      <c r="E330" s="31"/>
      <c r="F330" s="87"/>
      <c r="G330" s="31"/>
    </row>
    <row r="331" spans="1:7">
      <c r="A331" s="87">
        <f t="shared" si="5"/>
        <v>330</v>
      </c>
      <c r="B331" s="219"/>
      <c r="C331" s="220"/>
      <c r="D331" s="31"/>
      <c r="E331" s="31"/>
      <c r="F331" s="87"/>
      <c r="G331" s="31"/>
    </row>
    <row r="336" spans="5:5">
      <c r="E336" s="3"/>
    </row>
  </sheetData>
  <pageMargins left="0.393700787401575" right="0.393700787401575" top="0.984251968503937" bottom="0.984251968503937" header="0.511811023622047" footer="0.511811023622047"/>
  <pageSetup paperSize="9" scale="62" fitToHeight="0" orientation="portrait"/>
  <headerFooter alignWithMargins="0">
    <oddHeader>&amp;C&amp;"Arial,太字"&amp;14&amp;A&amp;R&amp;D &amp;T</oddHeader>
    <oddFooter>&amp;C&amp;P/&amp;N&amp;R&amp;F</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pageSetUpPr fitToPage="1"/>
  </sheetPr>
  <dimension ref="A1:L57"/>
  <sheetViews>
    <sheetView showGridLines="0" tabSelected="1" zoomScaleSheetLayoutView="145" workbookViewId="0">
      <pane ySplit="2" topLeftCell="A3" activePane="bottomLeft" state="frozenSplit"/>
      <selection/>
      <selection pane="bottomLeft" activeCell="F20" sqref="F20"/>
    </sheetView>
  </sheetViews>
  <sheetFormatPr defaultColWidth="9.33333333333333" defaultRowHeight="11.25"/>
  <cols>
    <col min="1" max="1" width="10.3333333333333" style="3" customWidth="1"/>
    <col min="2" max="2" width="4.77777777777778" style="3" customWidth="1"/>
    <col min="3" max="3" width="6.77777777777778" style="3" hidden="1" customWidth="1"/>
    <col min="4" max="4" width="37.4444444444444" style="3" hidden="1" customWidth="1"/>
    <col min="5" max="5" width="37.4444444444444" style="3" customWidth="1"/>
    <col min="6" max="6" width="47.6666666666667" style="3" customWidth="1"/>
    <col min="7" max="7" width="52.3333333333333" style="2" customWidth="1"/>
    <col min="8" max="8" width="8.11111111111111" style="37" customWidth="1"/>
    <col min="9" max="9" width="15" style="3" customWidth="1"/>
    <col min="10" max="10" width="45.7777777777778" style="3" customWidth="1"/>
    <col min="11" max="11" width="29.1111111111111" style="3" customWidth="1"/>
    <col min="12" max="16384" width="9.33333333333333" style="3"/>
  </cols>
  <sheetData>
    <row r="1" s="37" customFormat="1" ht="26.15" customHeight="1" spans="1:10">
      <c r="A1" s="146"/>
      <c r="B1" s="146"/>
      <c r="C1" s="146"/>
      <c r="D1" s="147"/>
      <c r="E1" s="147"/>
      <c r="F1" s="147"/>
      <c r="G1" s="148"/>
      <c r="H1" s="149" t="s">
        <v>10</v>
      </c>
      <c r="I1" s="149"/>
      <c r="J1" s="146"/>
    </row>
    <row r="2" s="37" customFormat="1" ht="22.5" spans="1:11">
      <c r="A2" s="150" t="s">
        <v>11</v>
      </c>
      <c r="B2" s="151" t="s">
        <v>0</v>
      </c>
      <c r="C2" s="150" t="s">
        <v>12</v>
      </c>
      <c r="D2" s="150" t="s">
        <v>13</v>
      </c>
      <c r="E2" s="150" t="s">
        <v>14</v>
      </c>
      <c r="F2" s="150" t="s">
        <v>15</v>
      </c>
      <c r="G2" s="150" t="s">
        <v>16</v>
      </c>
      <c r="H2" s="149" t="s">
        <v>17</v>
      </c>
      <c r="I2" s="149" t="s">
        <v>18</v>
      </c>
      <c r="J2" s="150" t="s">
        <v>6</v>
      </c>
      <c r="K2" s="37" t="s">
        <v>19</v>
      </c>
    </row>
    <row r="3" spans="1:11">
      <c r="A3" s="152"/>
      <c r="B3" s="152">
        <f t="shared" ref="B3:B21" si="0">ROW()-2</f>
        <v>1</v>
      </c>
      <c r="C3" s="152">
        <v>1</v>
      </c>
      <c r="D3" s="152" t="s">
        <v>20</v>
      </c>
      <c r="E3" s="152" t="str">
        <f>IF(C3=1,"M_SOD_","T_SOD_")&amp;UPPER(D3)</f>
        <v>M_SOD_LOOKUP</v>
      </c>
      <c r="F3" s="152" t="s">
        <v>21</v>
      </c>
      <c r="G3" s="153"/>
      <c r="H3" s="154" t="s">
        <v>22</v>
      </c>
      <c r="I3" s="152"/>
      <c r="J3" s="152"/>
      <c r="K3" s="88"/>
    </row>
    <row r="4" spans="1:11">
      <c r="A4" s="155"/>
      <c r="B4" s="156">
        <f t="shared" si="0"/>
        <v>2</v>
      </c>
      <c r="C4" s="156">
        <v>1</v>
      </c>
      <c r="D4" s="156" t="s">
        <v>23</v>
      </c>
      <c r="E4" s="156" t="str">
        <f>IF(C4=1,"M_SOD_","T_SOD_")&amp;UPPER(D4)</f>
        <v>M_SOD_BRAND</v>
      </c>
      <c r="F4" s="157" t="s">
        <v>24</v>
      </c>
      <c r="G4" s="158"/>
      <c r="H4" s="159" t="s">
        <v>22</v>
      </c>
      <c r="I4" s="155"/>
      <c r="J4" s="155"/>
      <c r="K4" s="88"/>
    </row>
    <row r="5" spans="1:11">
      <c r="A5" s="155"/>
      <c r="B5" s="156">
        <f t="shared" si="0"/>
        <v>3</v>
      </c>
      <c r="C5" s="156">
        <v>1</v>
      </c>
      <c r="D5" s="156" t="s">
        <v>25</v>
      </c>
      <c r="E5" s="156" t="str">
        <f t="shared" ref="E5:E8" si="1">IF(C5=1,"M_SOD_","T_SOD_")&amp;UPPER(D5)</f>
        <v>M_SOD_SERVICE</v>
      </c>
      <c r="F5" s="157" t="s">
        <v>26</v>
      </c>
      <c r="G5" s="158"/>
      <c r="H5" s="159" t="s">
        <v>22</v>
      </c>
      <c r="I5" s="155"/>
      <c r="J5" s="155"/>
      <c r="K5" s="88"/>
    </row>
    <row r="6" spans="1:11">
      <c r="A6" s="155"/>
      <c r="B6" s="156">
        <f t="shared" si="0"/>
        <v>4</v>
      </c>
      <c r="C6" s="156">
        <v>1</v>
      </c>
      <c r="D6" s="156" t="s">
        <v>27</v>
      </c>
      <c r="E6" s="156" t="str">
        <f t="shared" si="1"/>
        <v>M_SOD_SERVICE_PLAN</v>
      </c>
      <c r="F6" s="160" t="s">
        <v>28</v>
      </c>
      <c r="G6" s="158"/>
      <c r="H6" s="159" t="s">
        <v>22</v>
      </c>
      <c r="I6" s="155"/>
      <c r="J6" s="155"/>
      <c r="K6" s="88"/>
    </row>
    <row r="7" spans="1:11">
      <c r="A7" s="155"/>
      <c r="B7" s="156">
        <f t="shared" si="0"/>
        <v>5</v>
      </c>
      <c r="C7" s="156">
        <v>1</v>
      </c>
      <c r="D7" s="160" t="s">
        <v>29</v>
      </c>
      <c r="E7" s="156" t="str">
        <f t="shared" si="1"/>
        <v>M_SOD_DEVICE</v>
      </c>
      <c r="F7" s="157" t="s">
        <v>30</v>
      </c>
      <c r="G7" s="158"/>
      <c r="H7" s="159" t="s">
        <v>22</v>
      </c>
      <c r="I7" s="155"/>
      <c r="J7" s="155"/>
      <c r="K7" s="88"/>
    </row>
    <row r="8" spans="1:11">
      <c r="A8" s="155"/>
      <c r="B8" s="156">
        <f t="shared" si="0"/>
        <v>6</v>
      </c>
      <c r="C8" s="156">
        <v>2</v>
      </c>
      <c r="D8" s="156" t="s">
        <v>31</v>
      </c>
      <c r="E8" s="156" t="str">
        <f t="shared" si="1"/>
        <v>T_SOD_IDENTITY_CUSTOMER</v>
      </c>
      <c r="F8" s="157" t="s">
        <v>32</v>
      </c>
      <c r="G8" s="161"/>
      <c r="H8" s="159"/>
      <c r="I8" s="155"/>
      <c r="J8" s="155"/>
      <c r="K8" s="88"/>
    </row>
    <row r="9" spans="1:11">
      <c r="A9" s="155"/>
      <c r="B9" s="156">
        <f t="shared" si="0"/>
        <v>7</v>
      </c>
      <c r="C9" s="156">
        <v>2</v>
      </c>
      <c r="D9" s="156" t="s">
        <v>33</v>
      </c>
      <c r="E9" s="156" t="str">
        <f t="shared" ref="E9:E25" si="2">IF(C9=1,"M_SOD_","T_SOD_")&amp;UPPER(D9)</f>
        <v>T_SOD_QT_SEND</v>
      </c>
      <c r="F9" s="157" t="s">
        <v>34</v>
      </c>
      <c r="G9" s="161"/>
      <c r="H9" s="159"/>
      <c r="I9" s="155"/>
      <c r="J9" s="155"/>
      <c r="K9" s="88"/>
    </row>
    <row r="10" spans="1:11">
      <c r="A10" s="155"/>
      <c r="B10" s="156">
        <f t="shared" si="0"/>
        <v>8</v>
      </c>
      <c r="C10" s="156">
        <v>2</v>
      </c>
      <c r="D10" s="156" t="s">
        <v>35</v>
      </c>
      <c r="E10" s="156" t="str">
        <f t="shared" si="2"/>
        <v>T_SOD_QT_RECEIVE</v>
      </c>
      <c r="F10" s="157" t="s">
        <v>36</v>
      </c>
      <c r="G10" s="161"/>
      <c r="H10" s="159"/>
      <c r="I10" s="155"/>
      <c r="J10" s="155"/>
      <c r="K10" s="88"/>
    </row>
    <row r="11" spans="1:11">
      <c r="A11" s="155"/>
      <c r="B11" s="156">
        <f t="shared" si="0"/>
        <v>9</v>
      </c>
      <c r="C11" s="156">
        <v>2</v>
      </c>
      <c r="D11" s="162" t="s">
        <v>37</v>
      </c>
      <c r="E11" s="156" t="str">
        <f t="shared" si="2"/>
        <v>T_SOD_CONTRACT_SERVICE</v>
      </c>
      <c r="F11" s="157" t="s">
        <v>38</v>
      </c>
      <c r="G11" s="161" t="s">
        <v>39</v>
      </c>
      <c r="H11" s="159"/>
      <c r="I11" s="155"/>
      <c r="J11" s="155"/>
      <c r="K11" s="3" t="s">
        <v>40</v>
      </c>
    </row>
    <row r="12" spans="1:10">
      <c r="A12" s="155"/>
      <c r="B12" s="156">
        <f t="shared" si="0"/>
        <v>10</v>
      </c>
      <c r="C12" s="156">
        <v>2</v>
      </c>
      <c r="D12" s="162" t="s">
        <v>41</v>
      </c>
      <c r="E12" s="156" t="str">
        <f t="shared" si="2"/>
        <v>T_SOD_ORDER_INFO</v>
      </c>
      <c r="F12" s="157" t="s">
        <v>42</v>
      </c>
      <c r="G12" s="161" t="s">
        <v>43</v>
      </c>
      <c r="H12" s="159"/>
      <c r="I12" s="155"/>
      <c r="J12" s="155"/>
    </row>
    <row r="13" spans="1:10">
      <c r="A13" s="155"/>
      <c r="B13" s="156">
        <f t="shared" si="0"/>
        <v>11</v>
      </c>
      <c r="C13" s="156">
        <v>2</v>
      </c>
      <c r="D13" s="162" t="s">
        <v>44</v>
      </c>
      <c r="E13" s="156" t="str">
        <f t="shared" si="2"/>
        <v>T_SOD_SIM_ORDER_INFO</v>
      </c>
      <c r="F13" s="157" t="s">
        <v>45</v>
      </c>
      <c r="G13" s="161" t="s">
        <v>46</v>
      </c>
      <c r="H13" s="159"/>
      <c r="I13" s="155"/>
      <c r="J13" s="155" t="s">
        <v>47</v>
      </c>
    </row>
    <row r="14" spans="1:11">
      <c r="A14" s="155"/>
      <c r="B14" s="156">
        <f t="shared" si="0"/>
        <v>12</v>
      </c>
      <c r="C14" s="156">
        <v>2</v>
      </c>
      <c r="D14" s="156" t="s">
        <v>48</v>
      </c>
      <c r="E14" s="156" t="str">
        <f t="shared" si="2"/>
        <v>T_SOD_SEND_MAIL</v>
      </c>
      <c r="F14" s="156" t="s">
        <v>49</v>
      </c>
      <c r="G14" s="163"/>
      <c r="H14" s="164"/>
      <c r="I14" s="156"/>
      <c r="J14" s="156"/>
      <c r="K14" s="3" t="s">
        <v>50</v>
      </c>
    </row>
    <row r="15" spans="1:10">
      <c r="A15" s="155" t="s">
        <v>51</v>
      </c>
      <c r="B15" s="156">
        <f t="shared" si="0"/>
        <v>13</v>
      </c>
      <c r="C15" s="156">
        <v>1</v>
      </c>
      <c r="D15" s="165" t="s">
        <v>52</v>
      </c>
      <c r="E15" s="166" t="str">
        <f t="shared" si="2"/>
        <v>M_SOD_ILLEGAL_ORDER</v>
      </c>
      <c r="F15" s="167" t="s">
        <v>53</v>
      </c>
      <c r="G15" s="161"/>
      <c r="H15" s="164"/>
      <c r="I15" s="156"/>
      <c r="J15" s="197" t="s">
        <v>54</v>
      </c>
    </row>
    <row r="16" s="145" customFormat="1" spans="1:10">
      <c r="A16" s="155"/>
      <c r="B16" s="156">
        <f t="shared" si="0"/>
        <v>14</v>
      </c>
      <c r="C16" s="156">
        <v>2</v>
      </c>
      <c r="D16" s="156" t="s">
        <v>55</v>
      </c>
      <c r="E16" s="156" t="str">
        <f t="shared" si="2"/>
        <v>T_SOD_QT_ORDER</v>
      </c>
      <c r="F16" s="156" t="s">
        <v>56</v>
      </c>
      <c r="G16" s="168"/>
      <c r="H16" s="164"/>
      <c r="I16" s="156"/>
      <c r="J16" s="156"/>
    </row>
    <row r="17" spans="1:10">
      <c r="A17" s="156"/>
      <c r="B17" s="169">
        <f t="shared" si="0"/>
        <v>15</v>
      </c>
      <c r="C17" s="156">
        <v>2</v>
      </c>
      <c r="D17" s="169" t="s">
        <v>57</v>
      </c>
      <c r="E17" s="156" t="str">
        <f t="shared" si="2"/>
        <v>T_SOD_QUE_CTRL</v>
      </c>
      <c r="F17" s="156" t="s">
        <v>58</v>
      </c>
      <c r="G17" s="163"/>
      <c r="H17" s="164"/>
      <c r="I17" s="156"/>
      <c r="J17" s="156"/>
    </row>
    <row r="18" spans="1:10">
      <c r="A18" s="156"/>
      <c r="B18" s="169">
        <f t="shared" si="0"/>
        <v>16</v>
      </c>
      <c r="C18" s="156">
        <v>2</v>
      </c>
      <c r="D18" s="169" t="s">
        <v>59</v>
      </c>
      <c r="E18" s="156" t="str">
        <f t="shared" si="2"/>
        <v>T_SOD_QUE_REQUEST</v>
      </c>
      <c r="F18" s="156" t="s">
        <v>60</v>
      </c>
      <c r="G18" s="163"/>
      <c r="H18" s="164"/>
      <c r="I18" s="156"/>
      <c r="J18" s="203"/>
    </row>
    <row r="19" spans="1:10">
      <c r="A19" s="156"/>
      <c r="B19" s="169">
        <f t="shared" si="0"/>
        <v>17</v>
      </c>
      <c r="C19" s="156">
        <v>2</v>
      </c>
      <c r="D19" s="169" t="s">
        <v>61</v>
      </c>
      <c r="E19" s="156" t="str">
        <f t="shared" si="2"/>
        <v>T_SOD_QUE_RESULT</v>
      </c>
      <c r="F19" s="156" t="s">
        <v>62</v>
      </c>
      <c r="G19" s="163"/>
      <c r="H19" s="164"/>
      <c r="I19" s="156"/>
      <c r="J19" s="203"/>
    </row>
    <row r="20" spans="1:10">
      <c r="A20" s="156"/>
      <c r="B20" s="169">
        <f t="shared" si="0"/>
        <v>18</v>
      </c>
      <c r="C20" s="156">
        <v>2</v>
      </c>
      <c r="D20" s="169" t="s">
        <v>63</v>
      </c>
      <c r="E20" s="156" t="str">
        <f t="shared" si="2"/>
        <v>T_SOD_QUE_ERROR_CTRL</v>
      </c>
      <c r="F20" s="156" t="s">
        <v>64</v>
      </c>
      <c r="G20" s="163"/>
      <c r="H20" s="164"/>
      <c r="I20" s="156"/>
      <c r="J20" s="203"/>
    </row>
    <row r="21" spans="1:10">
      <c r="A21" s="156"/>
      <c r="B21" s="169">
        <f t="shared" si="0"/>
        <v>19</v>
      </c>
      <c r="C21" s="156">
        <v>2</v>
      </c>
      <c r="D21" s="169" t="s">
        <v>65</v>
      </c>
      <c r="E21" s="156" t="str">
        <f t="shared" si="2"/>
        <v>T_SOD_MAINTENANCE_INFO</v>
      </c>
      <c r="F21" s="156" t="s">
        <v>66</v>
      </c>
      <c r="G21" s="163"/>
      <c r="H21" s="164"/>
      <c r="I21" s="156"/>
      <c r="J21" s="203"/>
    </row>
    <row r="22" spans="1:10">
      <c r="A22" s="156"/>
      <c r="B22" s="169">
        <f t="shared" ref="B22:B27" si="3">ROW()-2</f>
        <v>20</v>
      </c>
      <c r="C22" s="156">
        <v>2</v>
      </c>
      <c r="D22" s="169" t="s">
        <v>67</v>
      </c>
      <c r="E22" s="156" t="str">
        <f t="shared" si="2"/>
        <v>T_SOD_IIJ_SEND</v>
      </c>
      <c r="F22" s="156" t="s">
        <v>68</v>
      </c>
      <c r="G22" s="163"/>
      <c r="H22" s="164"/>
      <c r="I22" s="156"/>
      <c r="J22" s="203"/>
    </row>
    <row r="23" spans="1:10">
      <c r="A23" s="156"/>
      <c r="B23" s="169">
        <f t="shared" si="3"/>
        <v>21</v>
      </c>
      <c r="C23" s="156">
        <v>2</v>
      </c>
      <c r="D23" s="169" t="s">
        <v>69</v>
      </c>
      <c r="E23" s="156" t="str">
        <f t="shared" si="2"/>
        <v>T_SOD_IIJ_RECEIVE</v>
      </c>
      <c r="F23" s="156" t="s">
        <v>70</v>
      </c>
      <c r="G23" s="163"/>
      <c r="H23" s="164"/>
      <c r="I23" s="156"/>
      <c r="J23" s="203"/>
    </row>
    <row r="24" spans="1:10">
      <c r="A24" s="156"/>
      <c r="B24" s="169">
        <f t="shared" si="3"/>
        <v>22</v>
      </c>
      <c r="C24" s="156">
        <v>2</v>
      </c>
      <c r="D24" s="169" t="s">
        <v>71</v>
      </c>
      <c r="E24" s="156" t="str">
        <f t="shared" si="2"/>
        <v>T_SOD_IIJ_PROGRESS</v>
      </c>
      <c r="F24" s="156" t="s">
        <v>72</v>
      </c>
      <c r="G24" s="163"/>
      <c r="H24" s="164"/>
      <c r="I24" s="156"/>
      <c r="J24" s="203"/>
    </row>
    <row r="25" spans="1:10">
      <c r="A25" s="156"/>
      <c r="B25" s="169">
        <f t="shared" si="3"/>
        <v>23</v>
      </c>
      <c r="C25" s="156">
        <v>2</v>
      </c>
      <c r="D25" s="169" t="s">
        <v>73</v>
      </c>
      <c r="E25" s="156" t="str">
        <f t="shared" si="2"/>
        <v>T_SOD_IIJ_ORDER_SIM</v>
      </c>
      <c r="F25" s="156" t="s">
        <v>74</v>
      </c>
      <c r="G25" s="163"/>
      <c r="H25" s="164"/>
      <c r="I25" s="156"/>
      <c r="J25" s="203"/>
    </row>
    <row r="26" spans="1:10">
      <c r="A26" s="156" t="s">
        <v>75</v>
      </c>
      <c r="B26" s="169">
        <f t="shared" si="3"/>
        <v>24</v>
      </c>
      <c r="C26" s="169"/>
      <c r="D26" s="169"/>
      <c r="E26" s="170" t="s">
        <v>76</v>
      </c>
      <c r="F26" s="166" t="s">
        <v>77</v>
      </c>
      <c r="G26" s="163"/>
      <c r="H26" s="164"/>
      <c r="I26" s="156"/>
      <c r="J26" s="204" t="s">
        <v>54</v>
      </c>
    </row>
    <row r="27" ht="22.5" spans="1:10">
      <c r="A27" s="171" t="s">
        <v>78</v>
      </c>
      <c r="B27" s="172">
        <f t="shared" si="3"/>
        <v>25</v>
      </c>
      <c r="C27" s="172"/>
      <c r="D27" s="172"/>
      <c r="E27" s="173" t="s">
        <v>79</v>
      </c>
      <c r="F27" s="174" t="s">
        <v>80</v>
      </c>
      <c r="G27" s="175" t="s">
        <v>81</v>
      </c>
      <c r="H27" s="176"/>
      <c r="I27" s="171"/>
      <c r="J27" s="205"/>
    </row>
    <row r="32" spans="1:12">
      <c r="A32" s="177"/>
      <c r="B32" s="177"/>
      <c r="C32" s="177"/>
      <c r="D32" s="178"/>
      <c r="E32" s="178"/>
      <c r="F32" s="178"/>
      <c r="G32" s="179"/>
      <c r="H32" s="180" t="s">
        <v>82</v>
      </c>
      <c r="I32" s="180"/>
      <c r="J32" s="177"/>
      <c r="K32" s="206"/>
      <c r="L32" s="37"/>
    </row>
    <row r="33" spans="1:12">
      <c r="A33" s="181" t="s">
        <v>83</v>
      </c>
      <c r="B33" s="182" t="s">
        <v>0</v>
      </c>
      <c r="C33" s="181" t="s">
        <v>12</v>
      </c>
      <c r="D33" s="181" t="s">
        <v>84</v>
      </c>
      <c r="E33" s="181" t="s">
        <v>85</v>
      </c>
      <c r="F33" s="181" t="s">
        <v>86</v>
      </c>
      <c r="G33" s="181" t="s">
        <v>87</v>
      </c>
      <c r="H33" s="180" t="s">
        <v>88</v>
      </c>
      <c r="I33" s="180" t="s">
        <v>89</v>
      </c>
      <c r="J33" s="181" t="s">
        <v>90</v>
      </c>
      <c r="K33" s="206" t="s">
        <v>91</v>
      </c>
      <c r="L33" s="37"/>
    </row>
    <row r="34" spans="1:11">
      <c r="A34" s="183"/>
      <c r="B34" s="183">
        <v>1</v>
      </c>
      <c r="C34" s="183">
        <v>1</v>
      </c>
      <c r="D34" s="183" t="s">
        <v>20</v>
      </c>
      <c r="E34" s="183" t="s">
        <v>92</v>
      </c>
      <c r="F34" s="183" t="s">
        <v>21</v>
      </c>
      <c r="G34" s="184"/>
      <c r="H34" s="185" t="s">
        <v>22</v>
      </c>
      <c r="I34" s="183"/>
      <c r="J34" s="183"/>
      <c r="K34" s="207"/>
    </row>
    <row r="35" spans="1:11">
      <c r="A35" s="186"/>
      <c r="B35" s="187">
        <v>2</v>
      </c>
      <c r="C35" s="187">
        <v>1</v>
      </c>
      <c r="D35" s="187" t="s">
        <v>23</v>
      </c>
      <c r="E35" s="187" t="s">
        <v>93</v>
      </c>
      <c r="F35" s="188" t="s">
        <v>24</v>
      </c>
      <c r="G35" s="189"/>
      <c r="H35" s="190" t="s">
        <v>22</v>
      </c>
      <c r="I35" s="186"/>
      <c r="J35" s="186"/>
      <c r="K35" s="207"/>
    </row>
    <row r="36" spans="1:11">
      <c r="A36" s="186"/>
      <c r="B36" s="187">
        <v>3</v>
      </c>
      <c r="C36" s="187">
        <v>1</v>
      </c>
      <c r="D36" s="187" t="s">
        <v>25</v>
      </c>
      <c r="E36" s="187" t="s">
        <v>94</v>
      </c>
      <c r="F36" s="188" t="s">
        <v>26</v>
      </c>
      <c r="G36" s="189"/>
      <c r="H36" s="190" t="s">
        <v>22</v>
      </c>
      <c r="I36" s="186"/>
      <c r="J36" s="186"/>
      <c r="K36" s="207"/>
    </row>
    <row r="37" spans="1:11">
      <c r="A37" s="186"/>
      <c r="B37" s="187">
        <v>4</v>
      </c>
      <c r="C37" s="187">
        <v>1</v>
      </c>
      <c r="D37" s="187" t="s">
        <v>27</v>
      </c>
      <c r="E37" s="187" t="s">
        <v>95</v>
      </c>
      <c r="F37" s="191" t="s">
        <v>28</v>
      </c>
      <c r="G37" s="189"/>
      <c r="H37" s="190" t="s">
        <v>22</v>
      </c>
      <c r="I37" s="186"/>
      <c r="J37" s="186"/>
      <c r="K37" s="207"/>
    </row>
    <row r="38" spans="1:11">
      <c r="A38" s="186"/>
      <c r="B38" s="187">
        <v>5</v>
      </c>
      <c r="C38" s="187">
        <v>1</v>
      </c>
      <c r="D38" s="191" t="s">
        <v>29</v>
      </c>
      <c r="E38" s="187" t="s">
        <v>96</v>
      </c>
      <c r="F38" s="188" t="s">
        <v>30</v>
      </c>
      <c r="G38" s="189"/>
      <c r="H38" s="190" t="s">
        <v>22</v>
      </c>
      <c r="I38" s="186"/>
      <c r="J38" s="186"/>
      <c r="K38" s="207"/>
    </row>
    <row r="39" spans="1:11">
      <c r="A39" s="186"/>
      <c r="B39" s="187">
        <v>6</v>
      </c>
      <c r="C39" s="187">
        <v>2</v>
      </c>
      <c r="D39" s="187" t="s">
        <v>31</v>
      </c>
      <c r="E39" s="187" t="s">
        <v>97</v>
      </c>
      <c r="F39" s="188" t="s">
        <v>32</v>
      </c>
      <c r="G39" s="192"/>
      <c r="H39" s="190"/>
      <c r="I39" s="186"/>
      <c r="J39" s="186"/>
      <c r="K39" s="207"/>
    </row>
    <row r="40" spans="1:11">
      <c r="A40" s="186"/>
      <c r="B40" s="187">
        <v>7</v>
      </c>
      <c r="C40" s="187">
        <v>2</v>
      </c>
      <c r="D40" s="187" t="s">
        <v>33</v>
      </c>
      <c r="E40" s="187" t="s">
        <v>98</v>
      </c>
      <c r="F40" s="188" t="s">
        <v>34</v>
      </c>
      <c r="G40" s="192"/>
      <c r="H40" s="190"/>
      <c r="I40" s="186"/>
      <c r="J40" s="186"/>
      <c r="K40" s="207"/>
    </row>
    <row r="41" spans="1:11">
      <c r="A41" s="186"/>
      <c r="B41" s="187">
        <v>8</v>
      </c>
      <c r="C41" s="187">
        <v>2</v>
      </c>
      <c r="D41" s="187" t="s">
        <v>35</v>
      </c>
      <c r="E41" s="187" t="s">
        <v>99</v>
      </c>
      <c r="F41" s="188" t="s">
        <v>36</v>
      </c>
      <c r="G41" s="192"/>
      <c r="H41" s="190"/>
      <c r="I41" s="186"/>
      <c r="J41" s="186"/>
      <c r="K41" s="207"/>
    </row>
    <row r="42" spans="1:11">
      <c r="A42" s="186"/>
      <c r="B42" s="187">
        <v>9</v>
      </c>
      <c r="C42" s="187">
        <v>2</v>
      </c>
      <c r="D42" s="193" t="s">
        <v>37</v>
      </c>
      <c r="E42" s="187" t="s">
        <v>100</v>
      </c>
      <c r="F42" s="188" t="s">
        <v>38</v>
      </c>
      <c r="G42" s="192" t="s">
        <v>101</v>
      </c>
      <c r="H42" s="190"/>
      <c r="I42" s="186"/>
      <c r="J42" s="186"/>
      <c r="K42" s="208" t="s">
        <v>102</v>
      </c>
    </row>
    <row r="43" spans="1:11">
      <c r="A43" s="186"/>
      <c r="B43" s="187">
        <v>10</v>
      </c>
      <c r="C43" s="187">
        <v>2</v>
      </c>
      <c r="D43" s="193" t="s">
        <v>41</v>
      </c>
      <c r="E43" s="187" t="s">
        <v>103</v>
      </c>
      <c r="F43" s="188" t="s">
        <v>42</v>
      </c>
      <c r="G43" s="192" t="s">
        <v>104</v>
      </c>
      <c r="H43" s="190"/>
      <c r="I43" s="186"/>
      <c r="J43" s="186"/>
      <c r="K43" s="208"/>
    </row>
    <row r="44" ht="22.5" spans="1:11">
      <c r="A44" s="186"/>
      <c r="B44" s="187">
        <v>11</v>
      </c>
      <c r="C44" s="187">
        <v>2</v>
      </c>
      <c r="D44" s="193" t="s">
        <v>44</v>
      </c>
      <c r="E44" s="187" t="s">
        <v>105</v>
      </c>
      <c r="F44" s="188" t="s">
        <v>45</v>
      </c>
      <c r="G44" s="192" t="s">
        <v>106</v>
      </c>
      <c r="H44" s="190"/>
      <c r="I44" s="186"/>
      <c r="J44" s="186" t="s">
        <v>107</v>
      </c>
      <c r="K44" s="208"/>
    </row>
    <row r="45" spans="1:11">
      <c r="A45" s="186"/>
      <c r="B45" s="187">
        <v>12</v>
      </c>
      <c r="C45" s="187">
        <v>2</v>
      </c>
      <c r="D45" s="187" t="s">
        <v>48</v>
      </c>
      <c r="E45" s="187" t="s">
        <v>108</v>
      </c>
      <c r="F45" s="187" t="s">
        <v>49</v>
      </c>
      <c r="G45" s="194"/>
      <c r="H45" s="195"/>
      <c r="I45" s="187"/>
      <c r="J45" s="187"/>
      <c r="K45" s="208" t="s">
        <v>109</v>
      </c>
    </row>
    <row r="46" spans="1:11">
      <c r="A46" s="186"/>
      <c r="B46" s="187">
        <v>13</v>
      </c>
      <c r="C46" s="187">
        <v>1</v>
      </c>
      <c r="D46" s="196" t="s">
        <v>52</v>
      </c>
      <c r="E46" s="187" t="s">
        <v>110</v>
      </c>
      <c r="F46" s="188" t="s">
        <v>53</v>
      </c>
      <c r="G46" s="192" t="s">
        <v>111</v>
      </c>
      <c r="H46" s="195"/>
      <c r="I46" s="187"/>
      <c r="J46" s="187"/>
      <c r="K46" s="208" t="s">
        <v>112</v>
      </c>
    </row>
    <row r="47" spans="1:12">
      <c r="A47" s="186"/>
      <c r="B47" s="187">
        <v>14</v>
      </c>
      <c r="C47" s="187">
        <v>2</v>
      </c>
      <c r="D47" s="187" t="s">
        <v>55</v>
      </c>
      <c r="E47" s="187" t="s">
        <v>113</v>
      </c>
      <c r="F47" s="197" t="s">
        <v>56</v>
      </c>
      <c r="G47" s="194"/>
      <c r="H47" s="195"/>
      <c r="I47" s="187"/>
      <c r="J47" s="187"/>
      <c r="K47" s="208"/>
      <c r="L47" s="145"/>
    </row>
    <row r="48" spans="1:11">
      <c r="A48" s="187"/>
      <c r="B48" s="187">
        <v>15</v>
      </c>
      <c r="C48" s="187">
        <v>2</v>
      </c>
      <c r="D48" s="198" t="s">
        <v>57</v>
      </c>
      <c r="E48" s="187" t="s">
        <v>114</v>
      </c>
      <c r="F48" s="187" t="s">
        <v>58</v>
      </c>
      <c r="G48" s="194"/>
      <c r="H48" s="195"/>
      <c r="I48" s="187"/>
      <c r="J48" s="187"/>
      <c r="K48" s="208"/>
    </row>
    <row r="49" spans="1:11">
      <c r="A49" s="187"/>
      <c r="B49" s="187">
        <v>16</v>
      </c>
      <c r="C49" s="187">
        <v>2</v>
      </c>
      <c r="D49" s="198" t="s">
        <v>59</v>
      </c>
      <c r="E49" s="187" t="s">
        <v>115</v>
      </c>
      <c r="F49" s="187" t="s">
        <v>60</v>
      </c>
      <c r="G49" s="194"/>
      <c r="H49" s="195"/>
      <c r="I49" s="187"/>
      <c r="J49" s="209"/>
      <c r="K49" s="208"/>
    </row>
    <row r="50" spans="1:11">
      <c r="A50" s="187"/>
      <c r="B50" s="187">
        <v>17</v>
      </c>
      <c r="C50" s="187">
        <v>2</v>
      </c>
      <c r="D50" s="198" t="s">
        <v>61</v>
      </c>
      <c r="E50" s="187" t="s">
        <v>116</v>
      </c>
      <c r="F50" s="187" t="s">
        <v>62</v>
      </c>
      <c r="G50" s="194"/>
      <c r="H50" s="195"/>
      <c r="I50" s="187"/>
      <c r="J50" s="209"/>
      <c r="K50" s="208"/>
    </row>
    <row r="51" spans="1:11">
      <c r="A51" s="187"/>
      <c r="B51" s="187">
        <v>18</v>
      </c>
      <c r="C51" s="187">
        <v>2</v>
      </c>
      <c r="D51" s="198" t="s">
        <v>63</v>
      </c>
      <c r="E51" s="187" t="s">
        <v>117</v>
      </c>
      <c r="F51" s="187" t="s">
        <v>64</v>
      </c>
      <c r="G51" s="194"/>
      <c r="H51" s="195"/>
      <c r="I51" s="187"/>
      <c r="J51" s="209"/>
      <c r="K51" s="208"/>
    </row>
    <row r="52" spans="1:11">
      <c r="A52" s="187"/>
      <c r="B52" s="187">
        <v>19</v>
      </c>
      <c r="C52" s="187">
        <v>2</v>
      </c>
      <c r="D52" s="198" t="s">
        <v>65</v>
      </c>
      <c r="E52" s="187" t="s">
        <v>118</v>
      </c>
      <c r="F52" s="187" t="s">
        <v>66</v>
      </c>
      <c r="G52" s="194"/>
      <c r="H52" s="195"/>
      <c r="I52" s="187"/>
      <c r="J52" s="209"/>
      <c r="K52" s="208"/>
    </row>
    <row r="53" spans="1:11">
      <c r="A53" s="187"/>
      <c r="B53" s="187">
        <v>20</v>
      </c>
      <c r="C53" s="187">
        <v>2</v>
      </c>
      <c r="D53" s="198" t="s">
        <v>67</v>
      </c>
      <c r="E53" s="187" t="s">
        <v>119</v>
      </c>
      <c r="F53" s="187" t="s">
        <v>68</v>
      </c>
      <c r="G53" s="194"/>
      <c r="H53" s="195"/>
      <c r="I53" s="187"/>
      <c r="J53" s="209"/>
      <c r="K53" s="208"/>
    </row>
    <row r="54" spans="1:11">
      <c r="A54" s="187"/>
      <c r="B54" s="187">
        <v>21</v>
      </c>
      <c r="C54" s="187">
        <v>2</v>
      </c>
      <c r="D54" s="198" t="s">
        <v>69</v>
      </c>
      <c r="E54" s="187" t="s">
        <v>120</v>
      </c>
      <c r="F54" s="187" t="s">
        <v>70</v>
      </c>
      <c r="G54" s="194"/>
      <c r="H54" s="195"/>
      <c r="I54" s="187"/>
      <c r="J54" s="209"/>
      <c r="K54" s="208"/>
    </row>
    <row r="55" spans="1:11">
      <c r="A55" s="187"/>
      <c r="B55" s="187">
        <v>22</v>
      </c>
      <c r="C55" s="187">
        <v>2</v>
      </c>
      <c r="D55" s="198" t="s">
        <v>71</v>
      </c>
      <c r="E55" s="187" t="s">
        <v>121</v>
      </c>
      <c r="F55" s="187" t="s">
        <v>72</v>
      </c>
      <c r="G55" s="194"/>
      <c r="H55" s="195"/>
      <c r="I55" s="187"/>
      <c r="J55" s="209"/>
      <c r="K55" s="208"/>
    </row>
    <row r="56" spans="1:11">
      <c r="A56" s="187"/>
      <c r="B56" s="187">
        <v>23</v>
      </c>
      <c r="C56" s="187">
        <v>2</v>
      </c>
      <c r="D56" s="198" t="s">
        <v>73</v>
      </c>
      <c r="E56" s="187" t="s">
        <v>122</v>
      </c>
      <c r="F56" s="187" t="s">
        <v>74</v>
      </c>
      <c r="G56" s="194"/>
      <c r="H56" s="195"/>
      <c r="I56" s="187"/>
      <c r="J56" s="209"/>
      <c r="K56" s="208"/>
    </row>
    <row r="57" spans="1:11">
      <c r="A57" s="199"/>
      <c r="B57" s="187">
        <v>24</v>
      </c>
      <c r="C57" s="200"/>
      <c r="D57" s="200"/>
      <c r="E57" s="197" t="s">
        <v>76</v>
      </c>
      <c r="F57" s="174" t="s">
        <v>123</v>
      </c>
      <c r="G57" s="201"/>
      <c r="H57" s="202"/>
      <c r="I57" s="199"/>
      <c r="J57" s="210"/>
      <c r="K57" s="208"/>
    </row>
  </sheetData>
  <mergeCells count="2">
    <mergeCell ref="H1:I1"/>
    <mergeCell ref="H32:I32"/>
  </mergeCells>
  <pageMargins left="0.393700787401575" right="0.393700787401575" top="0.984251968503937" bottom="0.984251968503937" header="0.511811023622047" footer="0.511811023622047"/>
  <pageSetup paperSize="9" scale="42" fitToHeight="0" orientation="portrait"/>
  <headerFooter alignWithMargins="0">
    <oddHeader>&amp;C&amp;"Arial,太字"&amp;14&amp;A&amp;R&amp;D &amp;T</oddHeader>
    <oddFooter>&amp;C&amp;P/&amp;N&amp;R&amp;F</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3223" name="Button 151" r:id="rId3">
              <controlPr print="0" defaultSize="0">
                <anchor moveWithCells="1" sizeWithCells="1">
                  <from>
                    <xdr:col>3</xdr:col>
                    <xdr:colOff>1524000</xdr:colOff>
                    <xdr:row>0</xdr:row>
                    <xdr:rowOff>57150</xdr:rowOff>
                  </from>
                  <to>
                    <xdr:col>5</xdr:col>
                    <xdr:colOff>533400</xdr:colOff>
                    <xdr:row>1</xdr:row>
                    <xdr:rowOff>107950</xdr:rowOff>
                  </to>
                </anchor>
              </controlPr>
            </control>
          </mc:Choice>
        </mc:AlternateContent>
        <mc:AlternateContent xmlns:mc="http://schemas.openxmlformats.org/markup-compatibility/2006">
          <mc:Choice Requires="x14">
            <control shapeId="3226" name="Button 154" r:id="rId4">
              <controlPr print="0" defaultSize="0">
                <anchor moveWithCells="1" sizeWithCells="1">
                  <from>
                    <xdr:col>4</xdr:col>
                    <xdr:colOff>133350</xdr:colOff>
                    <xdr:row>30</xdr:row>
                    <xdr:rowOff>88900</xdr:rowOff>
                  </from>
                  <to>
                    <xdr:col>5</xdr:col>
                    <xdr:colOff>666750</xdr:colOff>
                    <xdr:row>31</xdr:row>
                    <xdr:rowOff>133350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tabColor rgb="FFFFC000"/>
    <pageSetUpPr fitToPage="1"/>
  </sheetPr>
  <dimension ref="A1:AD106"/>
  <sheetViews>
    <sheetView showGridLines="0" workbookViewId="0">
      <pane xSplit="4" ySplit="3" topLeftCell="E81" activePane="bottomRight" state="frozen"/>
      <selection/>
      <selection pane="topRight"/>
      <selection pane="bottomLeft"/>
      <selection pane="bottomRight" activeCell="E83" sqref="E83"/>
    </sheetView>
  </sheetViews>
  <sheetFormatPr defaultColWidth="9.33333333333333" defaultRowHeight="11.25"/>
  <cols>
    <col min="1" max="1" width="4.33333333333333" style="2" customWidth="1"/>
    <col min="2" max="2" width="13.3333333333333" style="3" customWidth="1"/>
    <col min="3" max="3" width="30.7777777777778" style="2" customWidth="1"/>
    <col min="4" max="4" width="30.7777777777778" style="3" customWidth="1"/>
    <col min="5" max="5" width="36.7777777777778" style="2" customWidth="1"/>
    <col min="6" max="6" width="10.7777777777778" style="2" hidden="1" customWidth="1"/>
    <col min="7" max="7" width="11" style="2" customWidth="1"/>
    <col min="8" max="8" width="6.77777777777778" style="2" customWidth="1"/>
    <col min="9" max="9" width="5.77777777777778" style="4" customWidth="1"/>
    <col min="10" max="10" width="10.7777777777778" style="2" customWidth="1"/>
    <col min="11" max="11" width="18.7777777777778" style="2" customWidth="1"/>
    <col min="12" max="12" width="8.77777777777778" style="2" customWidth="1"/>
    <col min="13" max="13" width="22.7777777777778" style="2" customWidth="1"/>
    <col min="14" max="15" width="9.33333333333333" style="5"/>
    <col min="16" max="16" width="1.77777777777778" style="139" customWidth="1"/>
    <col min="17" max="17" width="9.33333333333333" style="5"/>
    <col min="18" max="18" width="4.33333333333333" style="2" customWidth="1"/>
    <col min="19" max="19" width="15.7777777777778" style="3" customWidth="1"/>
    <col min="20" max="20" width="30.7777777777778" style="2" customWidth="1"/>
    <col min="21" max="21" width="30.7777777777778" style="3" customWidth="1"/>
    <col min="22" max="22" width="36.7777777777778" style="2" customWidth="1"/>
    <col min="23" max="23" width="12.4444444444444" style="2" customWidth="1"/>
    <col min="24" max="24" width="13" style="2" customWidth="1"/>
    <col min="25" max="25" width="6.77777777777778" style="2" customWidth="1"/>
    <col min="26" max="26" width="11.4444444444444" style="4" customWidth="1"/>
    <col min="27" max="27" width="10.7777777777778" style="2" customWidth="1"/>
    <col min="28" max="28" width="18.7777777777778" style="2" customWidth="1"/>
    <col min="29" max="29" width="8.77777777777778" style="2" customWidth="1"/>
    <col min="30" max="30" width="22.7777777777778" style="2" customWidth="1"/>
    <col min="31" max="16384" width="9.33333333333333" style="5"/>
  </cols>
  <sheetData>
    <row r="1" s="2" customFormat="1" spans="1:26">
      <c r="A1" s="6"/>
      <c r="B1" s="7" t="s">
        <v>15</v>
      </c>
      <c r="C1" s="8"/>
      <c r="D1" s="9"/>
      <c r="I1" s="37"/>
      <c r="P1" s="140"/>
      <c r="R1" s="6"/>
      <c r="S1" s="7" t="s">
        <v>86</v>
      </c>
      <c r="T1" s="8"/>
      <c r="U1" s="9"/>
      <c r="Z1" s="37"/>
    </row>
    <row r="2" s="2" customFormat="1" spans="1:30">
      <c r="A2" s="10"/>
      <c r="B2" s="11" t="s">
        <v>124</v>
      </c>
      <c r="C2" s="8"/>
      <c r="D2" s="9"/>
      <c r="F2" s="3"/>
      <c r="G2" s="3"/>
      <c r="H2" s="3"/>
      <c r="I2" s="37"/>
      <c r="J2" s="3"/>
      <c r="K2" s="3"/>
      <c r="L2" s="3"/>
      <c r="M2" s="38"/>
      <c r="P2" s="140"/>
      <c r="R2" s="10"/>
      <c r="S2" s="11" t="s">
        <v>125</v>
      </c>
      <c r="T2" s="8"/>
      <c r="U2" s="9"/>
      <c r="W2" s="3"/>
      <c r="X2" s="3"/>
      <c r="Y2" s="3"/>
      <c r="Z2" s="37"/>
      <c r="AA2" s="3"/>
      <c r="AB2" s="3"/>
      <c r="AC2" s="3"/>
      <c r="AD2" s="38"/>
    </row>
    <row r="3" s="2" customFormat="1" ht="22.5" spans="1:30">
      <c r="A3" s="12" t="s">
        <v>0</v>
      </c>
      <c r="B3" s="13"/>
      <c r="C3" s="14" t="s">
        <v>126</v>
      </c>
      <c r="D3" s="15" t="s">
        <v>15</v>
      </c>
      <c r="E3" s="14" t="s">
        <v>16</v>
      </c>
      <c r="F3" s="16" t="s">
        <v>127</v>
      </c>
      <c r="G3" s="14" t="s">
        <v>127</v>
      </c>
      <c r="H3" s="14" t="s">
        <v>128</v>
      </c>
      <c r="I3" s="39" t="s">
        <v>129</v>
      </c>
      <c r="J3" s="14" t="s">
        <v>130</v>
      </c>
      <c r="K3" s="14" t="s">
        <v>131</v>
      </c>
      <c r="L3" s="14" t="s">
        <v>132</v>
      </c>
      <c r="M3" s="14" t="s">
        <v>6</v>
      </c>
      <c r="P3" s="140"/>
      <c r="R3" s="12" t="s">
        <v>0</v>
      </c>
      <c r="S3" s="13"/>
      <c r="T3" s="14" t="s">
        <v>133</v>
      </c>
      <c r="U3" s="15" t="s">
        <v>86</v>
      </c>
      <c r="V3" s="14" t="s">
        <v>87</v>
      </c>
      <c r="W3" s="16" t="s">
        <v>134</v>
      </c>
      <c r="X3" s="14" t="s">
        <v>134</v>
      </c>
      <c r="Y3" s="14" t="s">
        <v>128</v>
      </c>
      <c r="Z3" s="39" t="s">
        <v>135</v>
      </c>
      <c r="AA3" s="14" t="s">
        <v>130</v>
      </c>
      <c r="AB3" s="14" t="s">
        <v>136</v>
      </c>
      <c r="AC3" s="14" t="s">
        <v>132</v>
      </c>
      <c r="AD3" s="14" t="s">
        <v>137</v>
      </c>
    </row>
    <row r="5" spans="1:26">
      <c r="A5" s="6"/>
      <c r="B5" s="7" t="s">
        <v>15</v>
      </c>
      <c r="C5" s="8" t="s">
        <v>21</v>
      </c>
      <c r="D5" s="9"/>
      <c r="I5" s="37"/>
      <c r="R5" s="6"/>
      <c r="S5" s="7" t="s">
        <v>86</v>
      </c>
      <c r="T5" s="8" t="s">
        <v>138</v>
      </c>
      <c r="U5" s="9"/>
      <c r="Z5" s="37"/>
    </row>
    <row r="6" spans="1:30">
      <c r="A6" s="10"/>
      <c r="B6" s="11" t="s">
        <v>124</v>
      </c>
      <c r="C6" s="8" t="str">
        <f>テーブル一覧!E3</f>
        <v>M_SOD_LOOKUP</v>
      </c>
      <c r="D6" s="9"/>
      <c r="E6" s="3" t="s">
        <v>20</v>
      </c>
      <c r="F6" s="3"/>
      <c r="G6" s="3"/>
      <c r="H6" s="3"/>
      <c r="I6" s="37"/>
      <c r="J6" s="3"/>
      <c r="K6" s="3"/>
      <c r="L6" s="3"/>
      <c r="M6" s="38"/>
      <c r="R6" s="10"/>
      <c r="S6" s="11" t="s">
        <v>125</v>
      </c>
      <c r="T6" s="8" t="str">
        <f>C6</f>
        <v>M_SOD_LOOKUP</v>
      </c>
      <c r="U6" s="9"/>
      <c r="V6" s="3" t="s">
        <v>20</v>
      </c>
      <c r="W6" s="3"/>
      <c r="X6" s="3"/>
      <c r="Y6" s="3"/>
      <c r="Z6" s="37"/>
      <c r="AA6" s="3"/>
      <c r="AB6" s="3"/>
      <c r="AC6" s="3"/>
      <c r="AD6" s="38"/>
    </row>
    <row r="7" ht="22.5" spans="1:30">
      <c r="A7" s="12" t="s">
        <v>0</v>
      </c>
      <c r="B7" s="13"/>
      <c r="C7" s="14" t="s">
        <v>126</v>
      </c>
      <c r="D7" s="15" t="s">
        <v>15</v>
      </c>
      <c r="E7" s="14" t="s">
        <v>16</v>
      </c>
      <c r="F7" s="16" t="s">
        <v>127</v>
      </c>
      <c r="G7" s="14" t="s">
        <v>127</v>
      </c>
      <c r="H7" s="14" t="s">
        <v>128</v>
      </c>
      <c r="I7" s="39" t="s">
        <v>129</v>
      </c>
      <c r="J7" s="14" t="s">
        <v>130</v>
      </c>
      <c r="K7" s="14" t="s">
        <v>131</v>
      </c>
      <c r="L7" s="14" t="s">
        <v>132</v>
      </c>
      <c r="M7" s="14" t="s">
        <v>6</v>
      </c>
      <c r="R7" s="12" t="s">
        <v>0</v>
      </c>
      <c r="S7" s="13"/>
      <c r="T7" s="14" t="s">
        <v>133</v>
      </c>
      <c r="U7" s="15" t="s">
        <v>86</v>
      </c>
      <c r="V7" s="14" t="s">
        <v>87</v>
      </c>
      <c r="W7" s="16" t="s">
        <v>134</v>
      </c>
      <c r="X7" s="14" t="s">
        <v>134</v>
      </c>
      <c r="Y7" s="14" t="s">
        <v>128</v>
      </c>
      <c r="Z7" s="39" t="s">
        <v>135</v>
      </c>
      <c r="AA7" s="14" t="s">
        <v>130</v>
      </c>
      <c r="AB7" s="14" t="s">
        <v>136</v>
      </c>
      <c r="AC7" s="14" t="s">
        <v>132</v>
      </c>
      <c r="AD7" s="14" t="s">
        <v>137</v>
      </c>
    </row>
    <row r="8" s="2" customFormat="1" spans="1:30">
      <c r="A8" s="31">
        <v>1</v>
      </c>
      <c r="B8" s="59"/>
      <c r="C8" s="31" t="s">
        <v>139</v>
      </c>
      <c r="D8" s="87" t="s">
        <v>140</v>
      </c>
      <c r="E8" s="31"/>
      <c r="F8" s="31" t="s">
        <v>141</v>
      </c>
      <c r="G8" s="31" t="s">
        <v>142</v>
      </c>
      <c r="H8" s="31">
        <v>32</v>
      </c>
      <c r="I8" s="43" t="s">
        <v>22</v>
      </c>
      <c r="J8" s="31"/>
      <c r="K8" s="31"/>
      <c r="L8" s="87" t="s">
        <v>143</v>
      </c>
      <c r="M8" s="31"/>
      <c r="P8" s="140"/>
      <c r="R8" s="31">
        <v>1</v>
      </c>
      <c r="S8" s="59"/>
      <c r="T8" s="31" t="str">
        <f t="shared" ref="T8:T16" si="0">C8</f>
        <v>id</v>
      </c>
      <c r="U8" s="87" t="str">
        <f t="shared" ref="U8:U11" si="1">D8</f>
        <v>定義ID</v>
      </c>
      <c r="V8" s="31"/>
      <c r="W8" s="31" t="str">
        <f t="shared" ref="W8:W11" si="2">F8</f>
        <v>VARCHAR</v>
      </c>
      <c r="X8" s="31" t="s">
        <v>142</v>
      </c>
      <c r="Y8" s="31">
        <v>32</v>
      </c>
      <c r="Z8" s="43" t="s">
        <v>22</v>
      </c>
      <c r="AA8" s="31"/>
      <c r="AB8" s="31"/>
      <c r="AC8" s="87" t="s">
        <v>143</v>
      </c>
      <c r="AD8" s="31"/>
    </row>
    <row r="9" s="2" customFormat="1" spans="1:30">
      <c r="A9" s="31">
        <f t="shared" ref="A9:A12" si="3">A8+1</f>
        <v>2</v>
      </c>
      <c r="B9" s="59"/>
      <c r="C9" s="31" t="s">
        <v>144</v>
      </c>
      <c r="D9" s="87" t="s">
        <v>145</v>
      </c>
      <c r="E9" s="31"/>
      <c r="F9" s="31" t="s">
        <v>141</v>
      </c>
      <c r="G9" s="31" t="s">
        <v>142</v>
      </c>
      <c r="H9" s="31">
        <v>32</v>
      </c>
      <c r="I9" s="43" t="s">
        <v>22</v>
      </c>
      <c r="J9" s="31"/>
      <c r="K9" s="31"/>
      <c r="L9" s="31" t="s">
        <v>146</v>
      </c>
      <c r="M9" s="31"/>
      <c r="P9" s="140"/>
      <c r="R9" s="31">
        <f t="shared" ref="R9:R19" si="4">R8+1</f>
        <v>2</v>
      </c>
      <c r="S9" s="59"/>
      <c r="T9" s="31" t="str">
        <f t="shared" si="0"/>
        <v>code</v>
      </c>
      <c r="U9" s="87" t="str">
        <f t="shared" si="1"/>
        <v>コードID</v>
      </c>
      <c r="V9" s="31"/>
      <c r="W9" s="31" t="str">
        <f t="shared" si="2"/>
        <v>VARCHAR</v>
      </c>
      <c r="X9" s="31" t="s">
        <v>142</v>
      </c>
      <c r="Y9" s="31">
        <v>32</v>
      </c>
      <c r="Z9" s="43" t="s">
        <v>22</v>
      </c>
      <c r="AA9" s="31"/>
      <c r="AB9" s="31"/>
      <c r="AC9" s="31" t="s">
        <v>146</v>
      </c>
      <c r="AD9" s="31"/>
    </row>
    <row r="10" s="2" customFormat="1" spans="1:30">
      <c r="A10" s="31">
        <f t="shared" si="3"/>
        <v>3</v>
      </c>
      <c r="B10" s="59"/>
      <c r="C10" s="31" t="s">
        <v>147</v>
      </c>
      <c r="D10" s="87" t="s">
        <v>148</v>
      </c>
      <c r="E10" s="31"/>
      <c r="F10" s="31" t="s">
        <v>141</v>
      </c>
      <c r="G10" s="31" t="s">
        <v>142</v>
      </c>
      <c r="H10" s="31">
        <v>128</v>
      </c>
      <c r="I10" s="43" t="s">
        <v>22</v>
      </c>
      <c r="J10" s="31"/>
      <c r="K10" s="31"/>
      <c r="L10" s="31"/>
      <c r="M10" s="31"/>
      <c r="P10" s="140"/>
      <c r="R10" s="31">
        <f t="shared" si="4"/>
        <v>3</v>
      </c>
      <c r="S10" s="59"/>
      <c r="T10" s="31" t="str">
        <f t="shared" si="0"/>
        <v>name</v>
      </c>
      <c r="U10" s="87" t="str">
        <f t="shared" si="1"/>
        <v>コード名</v>
      </c>
      <c r="V10" s="31"/>
      <c r="W10" s="31" t="str">
        <f t="shared" si="2"/>
        <v>VARCHAR</v>
      </c>
      <c r="X10" s="31" t="s">
        <v>142</v>
      </c>
      <c r="Y10" s="31">
        <v>128</v>
      </c>
      <c r="Z10" s="43" t="s">
        <v>22</v>
      </c>
      <c r="AA10" s="31"/>
      <c r="AB10" s="31"/>
      <c r="AC10" s="31"/>
      <c r="AD10" s="31"/>
    </row>
    <row r="11" s="2" customFormat="1" spans="1:30">
      <c r="A11" s="31">
        <f t="shared" si="3"/>
        <v>4</v>
      </c>
      <c r="B11" s="59"/>
      <c r="C11" s="31" t="s">
        <v>149</v>
      </c>
      <c r="D11" s="87" t="s">
        <v>6</v>
      </c>
      <c r="E11" s="31"/>
      <c r="F11" s="31" t="s">
        <v>141</v>
      </c>
      <c r="G11" s="31" t="s">
        <v>142</v>
      </c>
      <c r="H11" s="31">
        <v>256</v>
      </c>
      <c r="I11" s="43"/>
      <c r="J11" s="31"/>
      <c r="K11" s="31"/>
      <c r="L11" s="31"/>
      <c r="M11" s="31"/>
      <c r="P11" s="140"/>
      <c r="R11" s="31">
        <f t="shared" si="4"/>
        <v>4</v>
      </c>
      <c r="S11" s="59"/>
      <c r="T11" s="31" t="str">
        <f t="shared" si="0"/>
        <v>remarks</v>
      </c>
      <c r="U11" s="87" t="str">
        <f t="shared" si="1"/>
        <v>備考</v>
      </c>
      <c r="V11" s="31"/>
      <c r="W11" s="31" t="str">
        <f t="shared" si="2"/>
        <v>VARCHAR</v>
      </c>
      <c r="X11" s="31" t="s">
        <v>142</v>
      </c>
      <c r="Y11" s="31">
        <v>256</v>
      </c>
      <c r="Z11" s="43"/>
      <c r="AA11" s="31"/>
      <c r="AB11" s="31"/>
      <c r="AC11" s="31"/>
      <c r="AD11" s="31"/>
    </row>
    <row r="12" s="2" customFormat="1" ht="22.5" spans="1:30">
      <c r="A12" s="33">
        <f t="shared" si="3"/>
        <v>5</v>
      </c>
      <c r="B12" s="34"/>
      <c r="C12" s="33" t="s">
        <v>150</v>
      </c>
      <c r="D12" s="35" t="s">
        <v>151</v>
      </c>
      <c r="E12" s="33" t="s">
        <v>152</v>
      </c>
      <c r="F12" s="33" t="s">
        <v>153</v>
      </c>
      <c r="G12" s="33" t="s">
        <v>154</v>
      </c>
      <c r="H12" s="33" t="s">
        <v>8</v>
      </c>
      <c r="I12" s="45" t="s">
        <v>22</v>
      </c>
      <c r="J12" s="225" t="s">
        <v>155</v>
      </c>
      <c r="K12" s="33"/>
      <c r="L12" s="33"/>
      <c r="M12" s="33" t="s">
        <v>156</v>
      </c>
      <c r="P12" s="70"/>
      <c r="R12" s="33">
        <f t="shared" si="4"/>
        <v>5</v>
      </c>
      <c r="S12" s="34"/>
      <c r="T12" s="33" t="str">
        <f t="shared" si="0"/>
        <v>delete_flg</v>
      </c>
      <c r="U12" s="35" t="str">
        <f t="shared" ref="U12:U19" si="5">D12</f>
        <v>削除フラグ</v>
      </c>
      <c r="V12" s="33" t="s">
        <v>157</v>
      </c>
      <c r="W12" s="33" t="str">
        <f t="shared" ref="W12:W19" si="6">F12</f>
        <v>TINYINT</v>
      </c>
      <c r="X12" s="33" t="s">
        <v>154</v>
      </c>
      <c r="Y12" s="33" t="s">
        <v>8</v>
      </c>
      <c r="Z12" s="45" t="s">
        <v>22</v>
      </c>
      <c r="AA12" s="225" t="s">
        <v>155</v>
      </c>
      <c r="AB12" s="33"/>
      <c r="AC12" s="33"/>
      <c r="AD12" s="33" t="s">
        <v>158</v>
      </c>
    </row>
    <row r="13" s="2" customFormat="1" ht="22.5" spans="1:30">
      <c r="A13" s="33">
        <f t="shared" ref="A13:A19" si="7">A12+1</f>
        <v>6</v>
      </c>
      <c r="B13" s="34"/>
      <c r="C13" s="33" t="s">
        <v>159</v>
      </c>
      <c r="D13" s="35" t="s">
        <v>160</v>
      </c>
      <c r="E13" s="33" t="s">
        <v>161</v>
      </c>
      <c r="F13" s="33" t="s">
        <v>153</v>
      </c>
      <c r="G13" s="33" t="s">
        <v>162</v>
      </c>
      <c r="H13" s="33"/>
      <c r="I13" s="45" t="s">
        <v>22</v>
      </c>
      <c r="J13" s="33">
        <v>0</v>
      </c>
      <c r="K13" s="33"/>
      <c r="L13" s="33"/>
      <c r="M13" s="33"/>
      <c r="P13" s="70"/>
      <c r="R13" s="33">
        <f t="shared" si="4"/>
        <v>6</v>
      </c>
      <c r="S13" s="34"/>
      <c r="T13" s="33" t="str">
        <f t="shared" si="0"/>
        <v>version</v>
      </c>
      <c r="U13" s="35" t="str">
        <f t="shared" si="5"/>
        <v>バージョン</v>
      </c>
      <c r="V13" s="33" t="s">
        <v>163</v>
      </c>
      <c r="W13" s="33" t="str">
        <f t="shared" si="6"/>
        <v>TINYINT</v>
      </c>
      <c r="X13" s="33" t="s">
        <v>162</v>
      </c>
      <c r="Y13" s="33"/>
      <c r="Z13" s="45" t="s">
        <v>22</v>
      </c>
      <c r="AA13" s="33">
        <v>0</v>
      </c>
      <c r="AB13" s="33"/>
      <c r="AC13" s="33"/>
      <c r="AD13" s="33"/>
    </row>
    <row r="14" s="2" customFormat="1" spans="1:30">
      <c r="A14" s="33">
        <f t="shared" si="7"/>
        <v>7</v>
      </c>
      <c r="B14" s="34"/>
      <c r="C14" s="33" t="s">
        <v>164</v>
      </c>
      <c r="D14" s="35" t="s">
        <v>165</v>
      </c>
      <c r="E14" s="33"/>
      <c r="F14" s="33" t="s">
        <v>141</v>
      </c>
      <c r="G14" s="33" t="s">
        <v>142</v>
      </c>
      <c r="H14" s="33">
        <v>32</v>
      </c>
      <c r="I14" s="45"/>
      <c r="J14" s="33"/>
      <c r="K14" s="33"/>
      <c r="L14" s="33"/>
      <c r="M14" s="33"/>
      <c r="P14" s="70"/>
      <c r="R14" s="33">
        <f t="shared" si="4"/>
        <v>7</v>
      </c>
      <c r="S14" s="34"/>
      <c r="T14" s="33" t="str">
        <f t="shared" si="0"/>
        <v>created_by</v>
      </c>
      <c r="U14" s="35" t="str">
        <f t="shared" si="5"/>
        <v>登録者ID</v>
      </c>
      <c r="V14" s="33"/>
      <c r="W14" s="33" t="str">
        <f t="shared" si="6"/>
        <v>VARCHAR</v>
      </c>
      <c r="X14" s="33" t="s">
        <v>142</v>
      </c>
      <c r="Y14" s="33">
        <v>32</v>
      </c>
      <c r="Z14" s="45"/>
      <c r="AA14" s="33"/>
      <c r="AB14" s="33"/>
      <c r="AC14" s="33"/>
      <c r="AD14" s="33"/>
    </row>
    <row r="15" s="2" customFormat="1" spans="1:30">
      <c r="A15" s="33">
        <f t="shared" si="7"/>
        <v>8</v>
      </c>
      <c r="B15" s="34"/>
      <c r="C15" s="33" t="s">
        <v>166</v>
      </c>
      <c r="D15" s="35" t="s">
        <v>167</v>
      </c>
      <c r="E15" s="33"/>
      <c r="F15" s="33" t="s">
        <v>153</v>
      </c>
      <c r="G15" s="33" t="s">
        <v>142</v>
      </c>
      <c r="H15" s="33">
        <v>32</v>
      </c>
      <c r="I15" s="45"/>
      <c r="J15" s="33"/>
      <c r="K15" s="33"/>
      <c r="L15" s="33"/>
      <c r="M15" s="33" t="s">
        <v>168</v>
      </c>
      <c r="P15" s="70"/>
      <c r="R15" s="33">
        <f t="shared" si="4"/>
        <v>8</v>
      </c>
      <c r="S15" s="34"/>
      <c r="T15" s="33" t="str">
        <f t="shared" si="0"/>
        <v>created_path</v>
      </c>
      <c r="U15" s="35" t="str">
        <f t="shared" si="5"/>
        <v>登録パス</v>
      </c>
      <c r="V15" s="33"/>
      <c r="W15" s="33" t="str">
        <f t="shared" si="6"/>
        <v>TINYINT</v>
      </c>
      <c r="X15" s="33" t="s">
        <v>142</v>
      </c>
      <c r="Y15" s="33">
        <v>32</v>
      </c>
      <c r="Z15" s="45"/>
      <c r="AA15" s="33"/>
      <c r="AB15" s="33"/>
      <c r="AC15" s="33"/>
      <c r="AD15" s="33" t="s">
        <v>169</v>
      </c>
    </row>
    <row r="16" s="2" customFormat="1" spans="1:30">
      <c r="A16" s="33">
        <f t="shared" si="7"/>
        <v>9</v>
      </c>
      <c r="B16" s="34"/>
      <c r="C16" s="36" t="s">
        <v>170</v>
      </c>
      <c r="D16" s="35" t="s">
        <v>171</v>
      </c>
      <c r="E16" s="33"/>
      <c r="F16" s="33" t="s">
        <v>172</v>
      </c>
      <c r="G16" s="33" t="s">
        <v>173</v>
      </c>
      <c r="H16" s="33" t="s">
        <v>8</v>
      </c>
      <c r="I16" s="45" t="s">
        <v>22</v>
      </c>
      <c r="J16" s="33"/>
      <c r="K16" s="33"/>
      <c r="L16" s="33"/>
      <c r="M16" s="33"/>
      <c r="P16" s="70"/>
      <c r="R16" s="33">
        <f t="shared" si="4"/>
        <v>9</v>
      </c>
      <c r="S16" s="34"/>
      <c r="T16" s="33" t="str">
        <f t="shared" si="0"/>
        <v>created_dt</v>
      </c>
      <c r="U16" s="35" t="str">
        <f t="shared" si="5"/>
        <v>レコード登録日時</v>
      </c>
      <c r="V16" s="33"/>
      <c r="W16" s="33" t="str">
        <f t="shared" si="6"/>
        <v>DATETIME</v>
      </c>
      <c r="X16" s="33" t="s">
        <v>173</v>
      </c>
      <c r="Y16" s="33" t="s">
        <v>8</v>
      </c>
      <c r="Z16" s="45" t="s">
        <v>22</v>
      </c>
      <c r="AA16" s="33"/>
      <c r="AB16" s="33"/>
      <c r="AC16" s="33"/>
      <c r="AD16" s="33"/>
    </row>
    <row r="17" s="2" customFormat="1" spans="1:30">
      <c r="A17" s="33">
        <f t="shared" si="7"/>
        <v>10</v>
      </c>
      <c r="B17" s="34"/>
      <c r="C17" s="33" t="s">
        <v>174</v>
      </c>
      <c r="D17" s="35" t="s">
        <v>175</v>
      </c>
      <c r="E17" s="33"/>
      <c r="F17" s="33" t="s">
        <v>141</v>
      </c>
      <c r="G17" s="33" t="s">
        <v>142</v>
      </c>
      <c r="H17" s="33">
        <v>32</v>
      </c>
      <c r="I17" s="45"/>
      <c r="J17" s="33"/>
      <c r="K17" s="33"/>
      <c r="L17" s="33"/>
      <c r="M17" s="33"/>
      <c r="P17" s="70"/>
      <c r="R17" s="33">
        <f t="shared" si="4"/>
        <v>10</v>
      </c>
      <c r="S17" s="34"/>
      <c r="T17" s="33" t="str">
        <f t="shared" ref="T17:T19" si="8">C17</f>
        <v>updated_by</v>
      </c>
      <c r="U17" s="35" t="str">
        <f t="shared" si="5"/>
        <v>更新者ID</v>
      </c>
      <c r="V17" s="33"/>
      <c r="W17" s="33" t="str">
        <f t="shared" si="6"/>
        <v>VARCHAR</v>
      </c>
      <c r="X17" s="33" t="s">
        <v>142</v>
      </c>
      <c r="Y17" s="33">
        <v>32</v>
      </c>
      <c r="Z17" s="45"/>
      <c r="AA17" s="33"/>
      <c r="AB17" s="33"/>
      <c r="AC17" s="33"/>
      <c r="AD17" s="33"/>
    </row>
    <row r="18" s="2" customFormat="1" ht="33.75" spans="1:30">
      <c r="A18" s="33">
        <f t="shared" si="7"/>
        <v>11</v>
      </c>
      <c r="B18" s="34"/>
      <c r="C18" s="33" t="s">
        <v>176</v>
      </c>
      <c r="D18" s="35" t="s">
        <v>177</v>
      </c>
      <c r="E18" s="33" t="s">
        <v>178</v>
      </c>
      <c r="F18" s="33" t="s">
        <v>153</v>
      </c>
      <c r="G18" s="33" t="s">
        <v>142</v>
      </c>
      <c r="H18" s="33">
        <v>32</v>
      </c>
      <c r="I18" s="45"/>
      <c r="J18" s="33"/>
      <c r="K18" s="33"/>
      <c r="L18" s="33"/>
      <c r="M18" s="33" t="s">
        <v>179</v>
      </c>
      <c r="P18" s="70"/>
      <c r="R18" s="33">
        <f t="shared" si="4"/>
        <v>11</v>
      </c>
      <c r="S18" s="34"/>
      <c r="T18" s="33" t="str">
        <f t="shared" si="8"/>
        <v>updated_path</v>
      </c>
      <c r="U18" s="35" t="str">
        <f t="shared" si="5"/>
        <v>更新パス</v>
      </c>
      <c r="V18" s="33" t="s">
        <v>180</v>
      </c>
      <c r="W18" s="33" t="str">
        <f t="shared" si="6"/>
        <v>TINYINT</v>
      </c>
      <c r="X18" s="33" t="s">
        <v>142</v>
      </c>
      <c r="Y18" s="33">
        <v>32</v>
      </c>
      <c r="Z18" s="45"/>
      <c r="AA18" s="33"/>
      <c r="AB18" s="33"/>
      <c r="AC18" s="33"/>
      <c r="AD18" s="33" t="s">
        <v>181</v>
      </c>
    </row>
    <row r="19" s="2" customFormat="1" spans="1:30">
      <c r="A19" s="33">
        <f t="shared" si="7"/>
        <v>12</v>
      </c>
      <c r="B19" s="34"/>
      <c r="C19" s="36" t="s">
        <v>182</v>
      </c>
      <c r="D19" s="35" t="s">
        <v>183</v>
      </c>
      <c r="E19" s="33"/>
      <c r="F19" s="33" t="s">
        <v>172</v>
      </c>
      <c r="G19" s="33" t="s">
        <v>173</v>
      </c>
      <c r="H19" s="33" t="s">
        <v>8</v>
      </c>
      <c r="I19" s="45" t="s">
        <v>22</v>
      </c>
      <c r="J19" s="33"/>
      <c r="K19" s="33"/>
      <c r="L19" s="33"/>
      <c r="M19" s="33"/>
      <c r="P19" s="70"/>
      <c r="R19" s="33">
        <f t="shared" si="4"/>
        <v>12</v>
      </c>
      <c r="S19" s="34"/>
      <c r="T19" s="33" t="str">
        <f t="shared" si="8"/>
        <v>updated_dt</v>
      </c>
      <c r="U19" s="35" t="str">
        <f t="shared" si="5"/>
        <v>レコード更新日時</v>
      </c>
      <c r="V19" s="33"/>
      <c r="W19" s="33" t="str">
        <f t="shared" si="6"/>
        <v>DATETIME</v>
      </c>
      <c r="X19" s="33" t="s">
        <v>173</v>
      </c>
      <c r="Y19" s="33" t="s">
        <v>8</v>
      </c>
      <c r="Z19" s="45" t="s">
        <v>22</v>
      </c>
      <c r="AA19" s="33"/>
      <c r="AB19" s="33"/>
      <c r="AC19" s="33"/>
      <c r="AD19" s="33"/>
    </row>
    <row r="20" spans="15:15">
      <c r="O20" s="2"/>
    </row>
    <row r="21" spans="1:26">
      <c r="A21" s="6"/>
      <c r="B21" s="7" t="s">
        <v>15</v>
      </c>
      <c r="C21" s="8" t="s">
        <v>24</v>
      </c>
      <c r="D21" s="9"/>
      <c r="I21" s="37"/>
      <c r="O21" s="2"/>
      <c r="R21" s="6"/>
      <c r="S21" s="7" t="s">
        <v>86</v>
      </c>
      <c r="T21" s="8" t="s">
        <v>184</v>
      </c>
      <c r="U21" s="9"/>
      <c r="Z21" s="37"/>
    </row>
    <row r="22" spans="1:30">
      <c r="A22" s="10"/>
      <c r="B22" s="11" t="s">
        <v>124</v>
      </c>
      <c r="C22" s="8" t="str">
        <f>テーブル一覧!E4</f>
        <v>M_SOD_BRAND</v>
      </c>
      <c r="D22" s="9"/>
      <c r="E22" s="3" t="s">
        <v>23</v>
      </c>
      <c r="F22" s="3"/>
      <c r="G22" s="3"/>
      <c r="H22" s="3"/>
      <c r="I22" s="37"/>
      <c r="J22" s="3"/>
      <c r="K22" s="3"/>
      <c r="L22" s="3"/>
      <c r="M22" s="38"/>
      <c r="O22" s="2"/>
      <c r="R22" s="10"/>
      <c r="S22" s="11" t="s">
        <v>125</v>
      </c>
      <c r="T22" s="8" t="str">
        <f t="shared" ref="T22:T33" si="9">C22</f>
        <v>M_SOD_BRAND</v>
      </c>
      <c r="U22" s="9"/>
      <c r="V22" s="3" t="s">
        <v>23</v>
      </c>
      <c r="W22" s="3"/>
      <c r="X22" s="3"/>
      <c r="Y22" s="3"/>
      <c r="Z22" s="37"/>
      <c r="AA22" s="3"/>
      <c r="AB22" s="3"/>
      <c r="AC22" s="3"/>
      <c r="AD22" s="38"/>
    </row>
    <row r="23" ht="22.5" spans="1:30">
      <c r="A23" s="12" t="s">
        <v>0</v>
      </c>
      <c r="B23" s="13"/>
      <c r="C23" s="14" t="s">
        <v>126</v>
      </c>
      <c r="D23" s="15" t="s">
        <v>15</v>
      </c>
      <c r="E23" s="14" t="s">
        <v>16</v>
      </c>
      <c r="F23" s="16" t="s">
        <v>127</v>
      </c>
      <c r="G23" s="14" t="s">
        <v>127</v>
      </c>
      <c r="H23" s="14" t="s">
        <v>128</v>
      </c>
      <c r="I23" s="39" t="s">
        <v>129</v>
      </c>
      <c r="J23" s="14" t="s">
        <v>130</v>
      </c>
      <c r="K23" s="14" t="s">
        <v>131</v>
      </c>
      <c r="L23" s="14" t="s">
        <v>132</v>
      </c>
      <c r="M23" s="14" t="s">
        <v>6</v>
      </c>
      <c r="O23" s="2"/>
      <c r="R23" s="12" t="s">
        <v>0</v>
      </c>
      <c r="S23" s="13"/>
      <c r="T23" s="14" t="s">
        <v>133</v>
      </c>
      <c r="U23" s="15" t="s">
        <v>86</v>
      </c>
      <c r="V23" s="14" t="s">
        <v>87</v>
      </c>
      <c r="W23" s="16" t="s">
        <v>134</v>
      </c>
      <c r="X23" s="14" t="s">
        <v>134</v>
      </c>
      <c r="Y23" s="14" t="s">
        <v>128</v>
      </c>
      <c r="Z23" s="39" t="s">
        <v>135</v>
      </c>
      <c r="AA23" s="14" t="s">
        <v>130</v>
      </c>
      <c r="AB23" s="14" t="s">
        <v>136</v>
      </c>
      <c r="AC23" s="14" t="s">
        <v>132</v>
      </c>
      <c r="AD23" s="14" t="s">
        <v>137</v>
      </c>
    </row>
    <row r="24" s="2" customFormat="1" spans="1:30">
      <c r="A24" s="31">
        <v>1</v>
      </c>
      <c r="B24" s="59"/>
      <c r="C24" s="31" t="s">
        <v>185</v>
      </c>
      <c r="D24" s="87" t="s">
        <v>186</v>
      </c>
      <c r="E24" s="31" t="s">
        <v>187</v>
      </c>
      <c r="F24" s="31" t="s">
        <v>141</v>
      </c>
      <c r="G24" s="31" t="s">
        <v>142</v>
      </c>
      <c r="H24" s="31">
        <v>32</v>
      </c>
      <c r="I24" s="43" t="s">
        <v>22</v>
      </c>
      <c r="J24" s="31"/>
      <c r="K24" s="31"/>
      <c r="L24" s="87" t="s">
        <v>188</v>
      </c>
      <c r="M24" s="31"/>
      <c r="P24" s="140"/>
      <c r="R24" s="31">
        <v>1</v>
      </c>
      <c r="S24" s="59"/>
      <c r="T24" s="31" t="str">
        <f t="shared" si="9"/>
        <v>brand_id</v>
      </c>
      <c r="U24" s="87" t="str">
        <f t="shared" ref="U24:U26" si="10">D24</f>
        <v>ブランドID</v>
      </c>
      <c r="V24" s="31" t="s">
        <v>187</v>
      </c>
      <c r="W24" s="31" t="str">
        <f t="shared" ref="W24:W26" si="11">F24</f>
        <v>VARCHAR</v>
      </c>
      <c r="X24" s="31" t="s">
        <v>142</v>
      </c>
      <c r="Y24" s="31">
        <v>32</v>
      </c>
      <c r="Z24" s="43" t="s">
        <v>22</v>
      </c>
      <c r="AA24" s="31"/>
      <c r="AB24" s="31"/>
      <c r="AC24" s="87" t="s">
        <v>188</v>
      </c>
      <c r="AD24" s="31"/>
    </row>
    <row r="25" s="2" customFormat="1" ht="22.5" spans="1:30">
      <c r="A25" s="31">
        <f t="shared" ref="A25:A27" si="12">A24+1</f>
        <v>2</v>
      </c>
      <c r="B25" s="59"/>
      <c r="C25" s="31" t="s">
        <v>189</v>
      </c>
      <c r="D25" s="87" t="s">
        <v>190</v>
      </c>
      <c r="E25" s="31" t="s">
        <v>191</v>
      </c>
      <c r="F25" s="31" t="s">
        <v>141</v>
      </c>
      <c r="G25" s="31" t="s">
        <v>142</v>
      </c>
      <c r="H25" s="31">
        <v>128</v>
      </c>
      <c r="I25" s="43" t="s">
        <v>22</v>
      </c>
      <c r="J25" s="31"/>
      <c r="K25" s="31"/>
      <c r="L25" s="31"/>
      <c r="M25" s="31" t="s">
        <v>192</v>
      </c>
      <c r="P25" s="140"/>
      <c r="R25" s="31">
        <f t="shared" ref="R25:R34" si="13">R24+1</f>
        <v>2</v>
      </c>
      <c r="S25" s="59"/>
      <c r="T25" s="31" t="str">
        <f t="shared" si="9"/>
        <v>brand_name</v>
      </c>
      <c r="U25" s="87" t="str">
        <f t="shared" si="10"/>
        <v>ブランド名</v>
      </c>
      <c r="V25" s="31" t="s">
        <v>193</v>
      </c>
      <c r="W25" s="31" t="str">
        <f t="shared" si="11"/>
        <v>VARCHAR</v>
      </c>
      <c r="X25" s="31" t="s">
        <v>142</v>
      </c>
      <c r="Y25" s="31">
        <v>128</v>
      </c>
      <c r="Z25" s="43" t="s">
        <v>22</v>
      </c>
      <c r="AA25" s="31"/>
      <c r="AB25" s="31"/>
      <c r="AC25" s="31"/>
      <c r="AD25" s="31" t="s">
        <v>194</v>
      </c>
    </row>
    <row r="26" s="2" customFormat="1" spans="1:30">
      <c r="A26" s="31">
        <f t="shared" si="12"/>
        <v>3</v>
      </c>
      <c r="B26" s="59"/>
      <c r="C26" s="31" t="s">
        <v>149</v>
      </c>
      <c r="D26" s="87" t="s">
        <v>6</v>
      </c>
      <c r="E26" s="31"/>
      <c r="F26" s="31" t="s">
        <v>141</v>
      </c>
      <c r="G26" s="31" t="s">
        <v>142</v>
      </c>
      <c r="H26" s="31">
        <v>256</v>
      </c>
      <c r="I26" s="43"/>
      <c r="J26" s="31"/>
      <c r="K26" s="31"/>
      <c r="L26" s="31"/>
      <c r="M26" s="31"/>
      <c r="P26" s="140"/>
      <c r="R26" s="31">
        <f t="shared" si="13"/>
        <v>3</v>
      </c>
      <c r="S26" s="59"/>
      <c r="T26" s="31" t="str">
        <f t="shared" si="9"/>
        <v>remarks</v>
      </c>
      <c r="U26" s="87" t="str">
        <f t="shared" si="10"/>
        <v>備考</v>
      </c>
      <c r="V26" s="31"/>
      <c r="W26" s="31" t="str">
        <f t="shared" si="11"/>
        <v>VARCHAR</v>
      </c>
      <c r="X26" s="31" t="s">
        <v>142</v>
      </c>
      <c r="Y26" s="31">
        <v>256</v>
      </c>
      <c r="Z26" s="43"/>
      <c r="AA26" s="31"/>
      <c r="AB26" s="31"/>
      <c r="AC26" s="31"/>
      <c r="AD26" s="31"/>
    </row>
    <row r="27" s="2" customFormat="1" ht="22.5" spans="1:30">
      <c r="A27" s="33">
        <f t="shared" si="12"/>
        <v>4</v>
      </c>
      <c r="B27" s="34"/>
      <c r="C27" s="33" t="s">
        <v>150</v>
      </c>
      <c r="D27" s="35" t="s">
        <v>151</v>
      </c>
      <c r="E27" s="33" t="s">
        <v>152</v>
      </c>
      <c r="F27" s="33" t="s">
        <v>153</v>
      </c>
      <c r="G27" s="33" t="s">
        <v>154</v>
      </c>
      <c r="H27" s="33" t="s">
        <v>8</v>
      </c>
      <c r="I27" s="45" t="s">
        <v>22</v>
      </c>
      <c r="J27" s="225" t="s">
        <v>155</v>
      </c>
      <c r="K27" s="33"/>
      <c r="L27" s="33"/>
      <c r="M27" s="33" t="s">
        <v>156</v>
      </c>
      <c r="P27" s="70"/>
      <c r="R27" s="33">
        <f t="shared" si="13"/>
        <v>4</v>
      </c>
      <c r="S27" s="34"/>
      <c r="T27" s="33" t="str">
        <f t="shared" si="9"/>
        <v>delete_flg</v>
      </c>
      <c r="U27" s="35" t="str">
        <f t="shared" ref="U27:U34" si="14">D27</f>
        <v>削除フラグ</v>
      </c>
      <c r="V27" s="33" t="s">
        <v>157</v>
      </c>
      <c r="W27" s="33" t="str">
        <f t="shared" ref="W27:W34" si="15">F27</f>
        <v>TINYINT</v>
      </c>
      <c r="X27" s="33" t="s">
        <v>154</v>
      </c>
      <c r="Y27" s="33" t="s">
        <v>8</v>
      </c>
      <c r="Z27" s="45" t="s">
        <v>22</v>
      </c>
      <c r="AA27" s="225" t="s">
        <v>155</v>
      </c>
      <c r="AB27" s="33"/>
      <c r="AC27" s="33"/>
      <c r="AD27" s="33" t="s">
        <v>158</v>
      </c>
    </row>
    <row r="28" s="2" customFormat="1" ht="22.5" spans="1:30">
      <c r="A28" s="33">
        <f t="shared" ref="A28:A34" si="16">A27+1</f>
        <v>5</v>
      </c>
      <c r="B28" s="34"/>
      <c r="C28" s="33" t="s">
        <v>159</v>
      </c>
      <c r="D28" s="35" t="s">
        <v>160</v>
      </c>
      <c r="E28" s="33" t="s">
        <v>161</v>
      </c>
      <c r="F28" s="33" t="s">
        <v>153</v>
      </c>
      <c r="G28" s="33" t="s">
        <v>162</v>
      </c>
      <c r="H28" s="33"/>
      <c r="I28" s="45" t="s">
        <v>22</v>
      </c>
      <c r="J28" s="33">
        <v>0</v>
      </c>
      <c r="K28" s="33"/>
      <c r="L28" s="33"/>
      <c r="M28" s="33"/>
      <c r="P28" s="70"/>
      <c r="R28" s="33">
        <f t="shared" si="13"/>
        <v>5</v>
      </c>
      <c r="S28" s="34"/>
      <c r="T28" s="33" t="str">
        <f t="shared" si="9"/>
        <v>version</v>
      </c>
      <c r="U28" s="35" t="str">
        <f t="shared" si="14"/>
        <v>バージョン</v>
      </c>
      <c r="V28" s="33" t="s">
        <v>163</v>
      </c>
      <c r="W28" s="33" t="str">
        <f t="shared" si="15"/>
        <v>TINYINT</v>
      </c>
      <c r="X28" s="33" t="s">
        <v>162</v>
      </c>
      <c r="Y28" s="33"/>
      <c r="Z28" s="45" t="s">
        <v>22</v>
      </c>
      <c r="AA28" s="33">
        <v>0</v>
      </c>
      <c r="AB28" s="33"/>
      <c r="AC28" s="33"/>
      <c r="AD28" s="33"/>
    </row>
    <row r="29" s="2" customFormat="1" spans="1:30">
      <c r="A29" s="33">
        <f t="shared" si="16"/>
        <v>6</v>
      </c>
      <c r="B29" s="34"/>
      <c r="C29" s="33" t="s">
        <v>164</v>
      </c>
      <c r="D29" s="35" t="s">
        <v>165</v>
      </c>
      <c r="E29" s="33"/>
      <c r="F29" s="33" t="s">
        <v>141</v>
      </c>
      <c r="G29" s="33" t="s">
        <v>142</v>
      </c>
      <c r="H29" s="33">
        <v>32</v>
      </c>
      <c r="I29" s="45"/>
      <c r="J29" s="33"/>
      <c r="K29" s="33"/>
      <c r="L29" s="33"/>
      <c r="M29" s="33"/>
      <c r="P29" s="70"/>
      <c r="R29" s="33">
        <f t="shared" si="13"/>
        <v>6</v>
      </c>
      <c r="S29" s="34"/>
      <c r="T29" s="33" t="str">
        <f t="shared" si="9"/>
        <v>created_by</v>
      </c>
      <c r="U29" s="35" t="str">
        <f t="shared" si="14"/>
        <v>登録者ID</v>
      </c>
      <c r="V29" s="33"/>
      <c r="W29" s="33" t="str">
        <f t="shared" si="15"/>
        <v>VARCHAR</v>
      </c>
      <c r="X29" s="33" t="s">
        <v>142</v>
      </c>
      <c r="Y29" s="33">
        <v>32</v>
      </c>
      <c r="Z29" s="45"/>
      <c r="AA29" s="33"/>
      <c r="AB29" s="33"/>
      <c r="AC29" s="33"/>
      <c r="AD29" s="33"/>
    </row>
    <row r="30" s="2" customFormat="1" spans="1:30">
      <c r="A30" s="33">
        <f t="shared" si="16"/>
        <v>7</v>
      </c>
      <c r="B30" s="34"/>
      <c r="C30" s="33" t="s">
        <v>166</v>
      </c>
      <c r="D30" s="35" t="s">
        <v>167</v>
      </c>
      <c r="E30" s="33"/>
      <c r="F30" s="33" t="s">
        <v>153</v>
      </c>
      <c r="G30" s="33" t="s">
        <v>142</v>
      </c>
      <c r="H30" s="33">
        <v>32</v>
      </c>
      <c r="I30" s="45"/>
      <c r="J30" s="33"/>
      <c r="K30" s="33"/>
      <c r="L30" s="33"/>
      <c r="M30" s="33" t="s">
        <v>168</v>
      </c>
      <c r="P30" s="70"/>
      <c r="R30" s="33">
        <f t="shared" si="13"/>
        <v>7</v>
      </c>
      <c r="S30" s="34"/>
      <c r="T30" s="33" t="str">
        <f t="shared" si="9"/>
        <v>created_path</v>
      </c>
      <c r="U30" s="35" t="str">
        <f t="shared" si="14"/>
        <v>登録パス</v>
      </c>
      <c r="V30" s="33"/>
      <c r="W30" s="33" t="str">
        <f t="shared" si="15"/>
        <v>TINYINT</v>
      </c>
      <c r="X30" s="33" t="s">
        <v>142</v>
      </c>
      <c r="Y30" s="33">
        <v>32</v>
      </c>
      <c r="Z30" s="45"/>
      <c r="AA30" s="33"/>
      <c r="AB30" s="33"/>
      <c r="AC30" s="33"/>
      <c r="AD30" s="33" t="s">
        <v>169</v>
      </c>
    </row>
    <row r="31" s="2" customFormat="1" spans="1:30">
      <c r="A31" s="33">
        <f t="shared" si="16"/>
        <v>8</v>
      </c>
      <c r="B31" s="34"/>
      <c r="C31" s="36" t="s">
        <v>170</v>
      </c>
      <c r="D31" s="35" t="s">
        <v>171</v>
      </c>
      <c r="E31" s="33"/>
      <c r="F31" s="33" t="s">
        <v>172</v>
      </c>
      <c r="G31" s="33" t="s">
        <v>173</v>
      </c>
      <c r="H31" s="33" t="s">
        <v>8</v>
      </c>
      <c r="I31" s="45" t="s">
        <v>22</v>
      </c>
      <c r="J31" s="33"/>
      <c r="K31" s="33"/>
      <c r="L31" s="33"/>
      <c r="M31" s="33"/>
      <c r="P31" s="70"/>
      <c r="R31" s="33">
        <f t="shared" si="13"/>
        <v>8</v>
      </c>
      <c r="S31" s="34"/>
      <c r="T31" s="33" t="str">
        <f t="shared" si="9"/>
        <v>created_dt</v>
      </c>
      <c r="U31" s="35" t="str">
        <f t="shared" si="14"/>
        <v>レコード登録日時</v>
      </c>
      <c r="V31" s="33"/>
      <c r="W31" s="33" t="str">
        <f t="shared" si="15"/>
        <v>DATETIME</v>
      </c>
      <c r="X31" s="33" t="s">
        <v>173</v>
      </c>
      <c r="Y31" s="33" t="s">
        <v>8</v>
      </c>
      <c r="Z31" s="45" t="s">
        <v>22</v>
      </c>
      <c r="AA31" s="33"/>
      <c r="AB31" s="33"/>
      <c r="AC31" s="33"/>
      <c r="AD31" s="33"/>
    </row>
    <row r="32" s="2" customFormat="1" spans="1:30">
      <c r="A32" s="33">
        <f t="shared" si="16"/>
        <v>9</v>
      </c>
      <c r="B32" s="34"/>
      <c r="C32" s="33" t="s">
        <v>174</v>
      </c>
      <c r="D32" s="35" t="s">
        <v>175</v>
      </c>
      <c r="E32" s="33"/>
      <c r="F32" s="33" t="s">
        <v>141</v>
      </c>
      <c r="G32" s="33" t="s">
        <v>142</v>
      </c>
      <c r="H32" s="33">
        <v>32</v>
      </c>
      <c r="I32" s="45"/>
      <c r="J32" s="33"/>
      <c r="K32" s="33"/>
      <c r="L32" s="33"/>
      <c r="M32" s="33"/>
      <c r="P32" s="70"/>
      <c r="R32" s="33">
        <f t="shared" si="13"/>
        <v>9</v>
      </c>
      <c r="S32" s="34"/>
      <c r="T32" s="33" t="str">
        <f t="shared" si="9"/>
        <v>updated_by</v>
      </c>
      <c r="U32" s="35" t="str">
        <f t="shared" si="14"/>
        <v>更新者ID</v>
      </c>
      <c r="V32" s="33"/>
      <c r="W32" s="33" t="str">
        <f t="shared" si="15"/>
        <v>VARCHAR</v>
      </c>
      <c r="X32" s="33" t="s">
        <v>142</v>
      </c>
      <c r="Y32" s="33">
        <v>32</v>
      </c>
      <c r="Z32" s="45"/>
      <c r="AA32" s="33"/>
      <c r="AB32" s="33"/>
      <c r="AC32" s="33"/>
      <c r="AD32" s="33"/>
    </row>
    <row r="33" s="2" customFormat="1" ht="33.75" spans="1:30">
      <c r="A33" s="33">
        <f t="shared" si="16"/>
        <v>10</v>
      </c>
      <c r="B33" s="34"/>
      <c r="C33" s="33" t="s">
        <v>176</v>
      </c>
      <c r="D33" s="35" t="s">
        <v>177</v>
      </c>
      <c r="E33" s="33" t="s">
        <v>178</v>
      </c>
      <c r="F33" s="33" t="s">
        <v>153</v>
      </c>
      <c r="G33" s="33" t="s">
        <v>142</v>
      </c>
      <c r="H33" s="33">
        <v>32</v>
      </c>
      <c r="I33" s="45"/>
      <c r="J33" s="33"/>
      <c r="K33" s="33"/>
      <c r="L33" s="33"/>
      <c r="M33" s="33" t="s">
        <v>179</v>
      </c>
      <c r="P33" s="70"/>
      <c r="R33" s="33">
        <f t="shared" si="13"/>
        <v>10</v>
      </c>
      <c r="S33" s="34"/>
      <c r="T33" s="33" t="str">
        <f t="shared" si="9"/>
        <v>updated_path</v>
      </c>
      <c r="U33" s="35" t="str">
        <f t="shared" si="14"/>
        <v>更新パス</v>
      </c>
      <c r="V33" s="33" t="s">
        <v>180</v>
      </c>
      <c r="W33" s="33" t="str">
        <f t="shared" si="15"/>
        <v>TINYINT</v>
      </c>
      <c r="X33" s="33" t="s">
        <v>142</v>
      </c>
      <c r="Y33" s="33">
        <v>32</v>
      </c>
      <c r="Z33" s="45"/>
      <c r="AA33" s="33"/>
      <c r="AB33" s="33"/>
      <c r="AC33" s="33"/>
      <c r="AD33" s="33" t="s">
        <v>181</v>
      </c>
    </row>
    <row r="34" s="2" customFormat="1" spans="1:30">
      <c r="A34" s="33">
        <f t="shared" si="16"/>
        <v>11</v>
      </c>
      <c r="B34" s="34"/>
      <c r="C34" s="36" t="s">
        <v>182</v>
      </c>
      <c r="D34" s="35" t="s">
        <v>183</v>
      </c>
      <c r="E34" s="33"/>
      <c r="F34" s="33" t="s">
        <v>172</v>
      </c>
      <c r="G34" s="33" t="s">
        <v>173</v>
      </c>
      <c r="H34" s="33" t="s">
        <v>8</v>
      </c>
      <c r="I34" s="45" t="s">
        <v>22</v>
      </c>
      <c r="J34" s="33"/>
      <c r="K34" s="33"/>
      <c r="L34" s="33"/>
      <c r="M34" s="33"/>
      <c r="P34" s="70"/>
      <c r="R34" s="33">
        <f t="shared" si="13"/>
        <v>11</v>
      </c>
      <c r="S34" s="34"/>
      <c r="T34" s="33" t="str">
        <f t="shared" ref="T34:T49" si="17">C34</f>
        <v>updated_dt</v>
      </c>
      <c r="U34" s="35" t="str">
        <f t="shared" si="14"/>
        <v>レコード更新日時</v>
      </c>
      <c r="V34" s="33"/>
      <c r="W34" s="33" t="str">
        <f t="shared" si="15"/>
        <v>DATETIME</v>
      </c>
      <c r="X34" s="33" t="s">
        <v>173</v>
      </c>
      <c r="Y34" s="33" t="s">
        <v>8</v>
      </c>
      <c r="Z34" s="45" t="s">
        <v>22</v>
      </c>
      <c r="AA34" s="33"/>
      <c r="AB34" s="33"/>
      <c r="AC34" s="33"/>
      <c r="AD34" s="33"/>
    </row>
    <row r="35" spans="15:15">
      <c r="O35" s="2"/>
    </row>
    <row r="36" spans="1:26">
      <c r="A36" s="6"/>
      <c r="B36" s="7" t="s">
        <v>15</v>
      </c>
      <c r="C36" s="8" t="s">
        <v>26</v>
      </c>
      <c r="D36" s="9"/>
      <c r="I36" s="37"/>
      <c r="O36" s="2"/>
      <c r="R36" s="6"/>
      <c r="S36" s="7" t="s">
        <v>86</v>
      </c>
      <c r="T36" s="8" t="s">
        <v>195</v>
      </c>
      <c r="U36" s="9"/>
      <c r="Z36" s="37"/>
    </row>
    <row r="37" spans="1:30">
      <c r="A37" s="10"/>
      <c r="B37" s="11" t="s">
        <v>124</v>
      </c>
      <c r="C37" s="8" t="str">
        <f>テーブル一覧!E5</f>
        <v>M_SOD_SERVICE</v>
      </c>
      <c r="D37" s="9"/>
      <c r="E37" s="3" t="s">
        <v>25</v>
      </c>
      <c r="F37" s="3"/>
      <c r="G37" s="3"/>
      <c r="H37" s="3"/>
      <c r="I37" s="37"/>
      <c r="J37" s="3"/>
      <c r="K37" s="3"/>
      <c r="L37" s="3"/>
      <c r="M37" s="38"/>
      <c r="O37" s="2"/>
      <c r="R37" s="10"/>
      <c r="S37" s="11" t="s">
        <v>125</v>
      </c>
      <c r="T37" s="8" t="str">
        <f t="shared" si="17"/>
        <v>M_SOD_SERVICE</v>
      </c>
      <c r="U37" s="9"/>
      <c r="V37" s="3" t="s">
        <v>25</v>
      </c>
      <c r="W37" s="3"/>
      <c r="X37" s="3"/>
      <c r="Y37" s="3"/>
      <c r="Z37" s="37"/>
      <c r="AA37" s="3"/>
      <c r="AB37" s="3"/>
      <c r="AC37" s="3"/>
      <c r="AD37" s="38"/>
    </row>
    <row r="38" ht="22.5" spans="1:30">
      <c r="A38" s="12" t="s">
        <v>0</v>
      </c>
      <c r="B38" s="13"/>
      <c r="C38" s="14" t="s">
        <v>126</v>
      </c>
      <c r="D38" s="15" t="s">
        <v>15</v>
      </c>
      <c r="E38" s="14" t="s">
        <v>16</v>
      </c>
      <c r="F38" s="16" t="s">
        <v>127</v>
      </c>
      <c r="G38" s="14" t="s">
        <v>127</v>
      </c>
      <c r="H38" s="14" t="s">
        <v>128</v>
      </c>
      <c r="I38" s="39" t="s">
        <v>129</v>
      </c>
      <c r="J38" s="14" t="s">
        <v>130</v>
      </c>
      <c r="K38" s="14" t="s">
        <v>131</v>
      </c>
      <c r="L38" s="14" t="s">
        <v>132</v>
      </c>
      <c r="M38" s="14" t="s">
        <v>6</v>
      </c>
      <c r="O38" s="2"/>
      <c r="R38" s="12" t="s">
        <v>0</v>
      </c>
      <c r="S38" s="13"/>
      <c r="T38" s="14" t="s">
        <v>133</v>
      </c>
      <c r="U38" s="15" t="s">
        <v>86</v>
      </c>
      <c r="V38" s="14" t="s">
        <v>87</v>
      </c>
      <c r="W38" s="16" t="s">
        <v>134</v>
      </c>
      <c r="X38" s="14" t="s">
        <v>134</v>
      </c>
      <c r="Y38" s="14" t="s">
        <v>128</v>
      </c>
      <c r="Z38" s="39" t="s">
        <v>135</v>
      </c>
      <c r="AA38" s="14" t="s">
        <v>130</v>
      </c>
      <c r="AB38" s="14" t="s">
        <v>136</v>
      </c>
      <c r="AC38" s="14" t="s">
        <v>132</v>
      </c>
      <c r="AD38" s="14" t="s">
        <v>137</v>
      </c>
    </row>
    <row r="39" s="2" customFormat="1" spans="1:30">
      <c r="A39" s="31">
        <v>1</v>
      </c>
      <c r="B39" s="59"/>
      <c r="C39" s="31" t="s">
        <v>196</v>
      </c>
      <c r="D39" s="87" t="s">
        <v>197</v>
      </c>
      <c r="E39" s="31" t="s">
        <v>198</v>
      </c>
      <c r="F39" s="31" t="s">
        <v>141</v>
      </c>
      <c r="G39" s="31" t="s">
        <v>142</v>
      </c>
      <c r="H39" s="31">
        <v>32</v>
      </c>
      <c r="I39" s="43" t="s">
        <v>22</v>
      </c>
      <c r="J39" s="31"/>
      <c r="K39" s="31"/>
      <c r="L39" s="87" t="s">
        <v>188</v>
      </c>
      <c r="M39" s="31"/>
      <c r="P39" s="140"/>
      <c r="R39" s="31">
        <v>1</v>
      </c>
      <c r="S39" s="59"/>
      <c r="T39" s="31" t="str">
        <f t="shared" si="17"/>
        <v>service_id</v>
      </c>
      <c r="U39" s="87" t="str">
        <f t="shared" ref="U39:U50" si="18">D39</f>
        <v>サービスID</v>
      </c>
      <c r="V39" s="31" t="s">
        <v>198</v>
      </c>
      <c r="W39" s="31" t="str">
        <f t="shared" ref="W39:W50" si="19">F39</f>
        <v>VARCHAR</v>
      </c>
      <c r="X39" s="31" t="s">
        <v>142</v>
      </c>
      <c r="Y39" s="31">
        <v>32</v>
      </c>
      <c r="Z39" s="43" t="s">
        <v>22</v>
      </c>
      <c r="AA39" s="31"/>
      <c r="AB39" s="31"/>
      <c r="AC39" s="87" t="s">
        <v>188</v>
      </c>
      <c r="AD39" s="31"/>
    </row>
    <row r="40" s="2" customFormat="1" spans="1:30">
      <c r="A40" s="31">
        <f t="shared" ref="A40:A50" si="20">A39+1</f>
        <v>2</v>
      </c>
      <c r="B40" s="59"/>
      <c r="C40" s="31" t="s">
        <v>185</v>
      </c>
      <c r="D40" s="87" t="s">
        <v>186</v>
      </c>
      <c r="E40" s="31" t="s">
        <v>187</v>
      </c>
      <c r="F40" s="31" t="s">
        <v>141</v>
      </c>
      <c r="G40" s="31" t="s">
        <v>142</v>
      </c>
      <c r="H40" s="31">
        <v>32</v>
      </c>
      <c r="I40" s="43" t="s">
        <v>22</v>
      </c>
      <c r="J40" s="31"/>
      <c r="K40" s="31"/>
      <c r="L40" s="31"/>
      <c r="M40" s="31"/>
      <c r="P40" s="140"/>
      <c r="R40" s="31">
        <f t="shared" ref="R40:R50" si="21">R39+1</f>
        <v>2</v>
      </c>
      <c r="S40" s="59"/>
      <c r="T40" s="31" t="str">
        <f t="shared" si="17"/>
        <v>brand_id</v>
      </c>
      <c r="U40" s="87" t="str">
        <f t="shared" si="18"/>
        <v>ブランドID</v>
      </c>
      <c r="V40" s="31" t="s">
        <v>187</v>
      </c>
      <c r="W40" s="31" t="str">
        <f t="shared" si="19"/>
        <v>VARCHAR</v>
      </c>
      <c r="X40" s="31" t="s">
        <v>142</v>
      </c>
      <c r="Y40" s="31">
        <v>32</v>
      </c>
      <c r="Z40" s="43" t="s">
        <v>22</v>
      </c>
      <c r="AA40" s="31"/>
      <c r="AB40" s="31"/>
      <c r="AC40" s="31"/>
      <c r="AD40" s="31"/>
    </row>
    <row r="41" s="2" customFormat="1" ht="22.5" spans="1:30">
      <c r="A41" s="31">
        <f t="shared" si="20"/>
        <v>3</v>
      </c>
      <c r="B41" s="59"/>
      <c r="C41" s="31" t="s">
        <v>199</v>
      </c>
      <c r="D41" s="87" t="s">
        <v>200</v>
      </c>
      <c r="E41" s="31" t="s">
        <v>201</v>
      </c>
      <c r="F41" s="31" t="s">
        <v>141</v>
      </c>
      <c r="G41" s="31" t="s">
        <v>142</v>
      </c>
      <c r="H41" s="31">
        <v>128</v>
      </c>
      <c r="I41" s="43" t="s">
        <v>22</v>
      </c>
      <c r="J41" s="31"/>
      <c r="K41" s="31"/>
      <c r="L41" s="31"/>
      <c r="M41" s="31" t="s">
        <v>202</v>
      </c>
      <c r="P41" s="140"/>
      <c r="R41" s="31">
        <f t="shared" si="21"/>
        <v>3</v>
      </c>
      <c r="S41" s="59"/>
      <c r="T41" s="31" t="str">
        <f t="shared" si="17"/>
        <v>service_name</v>
      </c>
      <c r="U41" s="87" t="str">
        <f t="shared" si="18"/>
        <v>サービス名</v>
      </c>
      <c r="V41" s="31" t="s">
        <v>193</v>
      </c>
      <c r="W41" s="31" t="str">
        <f t="shared" si="19"/>
        <v>VARCHAR</v>
      </c>
      <c r="X41" s="31" t="s">
        <v>142</v>
      </c>
      <c r="Y41" s="31">
        <v>128</v>
      </c>
      <c r="Z41" s="43" t="s">
        <v>22</v>
      </c>
      <c r="AA41" s="31"/>
      <c r="AB41" s="31"/>
      <c r="AC41" s="31"/>
      <c r="AD41" s="31" t="s">
        <v>203</v>
      </c>
    </row>
    <row r="42" s="2" customFormat="1" spans="1:30">
      <c r="A42" s="31">
        <f t="shared" si="20"/>
        <v>4</v>
      </c>
      <c r="B42" s="59"/>
      <c r="C42" s="31" t="s">
        <v>149</v>
      </c>
      <c r="D42" s="87" t="s">
        <v>6</v>
      </c>
      <c r="E42" s="31"/>
      <c r="F42" s="31" t="s">
        <v>141</v>
      </c>
      <c r="G42" s="31" t="s">
        <v>142</v>
      </c>
      <c r="H42" s="31">
        <v>256</v>
      </c>
      <c r="I42" s="43"/>
      <c r="J42" s="31"/>
      <c r="K42" s="31"/>
      <c r="L42" s="31"/>
      <c r="M42" s="31"/>
      <c r="P42" s="140"/>
      <c r="R42" s="31">
        <f t="shared" si="21"/>
        <v>4</v>
      </c>
      <c r="S42" s="59"/>
      <c r="T42" s="31" t="str">
        <f t="shared" si="17"/>
        <v>remarks</v>
      </c>
      <c r="U42" s="87" t="str">
        <f t="shared" si="18"/>
        <v>備考</v>
      </c>
      <c r="V42" s="31"/>
      <c r="W42" s="31" t="str">
        <f t="shared" si="19"/>
        <v>VARCHAR</v>
      </c>
      <c r="X42" s="31" t="s">
        <v>142</v>
      </c>
      <c r="Y42" s="31">
        <v>256</v>
      </c>
      <c r="Z42" s="43"/>
      <c r="AA42" s="31"/>
      <c r="AB42" s="31"/>
      <c r="AC42" s="31"/>
      <c r="AD42" s="31"/>
    </row>
    <row r="43" s="2" customFormat="1" ht="22.5" spans="1:30">
      <c r="A43" s="33">
        <f t="shared" si="20"/>
        <v>5</v>
      </c>
      <c r="B43" s="34"/>
      <c r="C43" s="33" t="s">
        <v>150</v>
      </c>
      <c r="D43" s="35" t="s">
        <v>151</v>
      </c>
      <c r="E43" s="33" t="s">
        <v>152</v>
      </c>
      <c r="F43" s="33" t="s">
        <v>153</v>
      </c>
      <c r="G43" s="33" t="s">
        <v>154</v>
      </c>
      <c r="H43" s="33" t="s">
        <v>8</v>
      </c>
      <c r="I43" s="45" t="s">
        <v>22</v>
      </c>
      <c r="J43" s="225" t="s">
        <v>155</v>
      </c>
      <c r="K43" s="33"/>
      <c r="L43" s="33"/>
      <c r="M43" s="33" t="s">
        <v>156</v>
      </c>
      <c r="P43" s="70"/>
      <c r="R43" s="33">
        <f t="shared" si="21"/>
        <v>5</v>
      </c>
      <c r="S43" s="34"/>
      <c r="T43" s="33" t="str">
        <f t="shared" si="17"/>
        <v>delete_flg</v>
      </c>
      <c r="U43" s="35" t="str">
        <f t="shared" si="18"/>
        <v>削除フラグ</v>
      </c>
      <c r="V43" s="33" t="s">
        <v>157</v>
      </c>
      <c r="W43" s="33" t="str">
        <f t="shared" si="19"/>
        <v>TINYINT</v>
      </c>
      <c r="X43" s="33" t="s">
        <v>154</v>
      </c>
      <c r="Y43" s="33" t="s">
        <v>8</v>
      </c>
      <c r="Z43" s="45" t="s">
        <v>22</v>
      </c>
      <c r="AA43" s="225" t="s">
        <v>155</v>
      </c>
      <c r="AB43" s="33"/>
      <c r="AC43" s="33"/>
      <c r="AD43" s="33" t="s">
        <v>158</v>
      </c>
    </row>
    <row r="44" s="2" customFormat="1" ht="22.5" spans="1:30">
      <c r="A44" s="33">
        <f t="shared" si="20"/>
        <v>6</v>
      </c>
      <c r="B44" s="34"/>
      <c r="C44" s="33" t="s">
        <v>159</v>
      </c>
      <c r="D44" s="35" t="s">
        <v>160</v>
      </c>
      <c r="E44" s="33" t="s">
        <v>161</v>
      </c>
      <c r="F44" s="33" t="s">
        <v>153</v>
      </c>
      <c r="G44" s="33" t="s">
        <v>162</v>
      </c>
      <c r="H44" s="33"/>
      <c r="I44" s="45" t="s">
        <v>22</v>
      </c>
      <c r="J44" s="33">
        <v>0</v>
      </c>
      <c r="K44" s="33"/>
      <c r="L44" s="33"/>
      <c r="M44" s="33"/>
      <c r="P44" s="70"/>
      <c r="R44" s="33">
        <f t="shared" si="21"/>
        <v>6</v>
      </c>
      <c r="S44" s="34"/>
      <c r="T44" s="33" t="str">
        <f t="shared" si="17"/>
        <v>version</v>
      </c>
      <c r="U44" s="35" t="str">
        <f t="shared" si="18"/>
        <v>バージョン</v>
      </c>
      <c r="V44" s="33" t="s">
        <v>163</v>
      </c>
      <c r="W44" s="33" t="str">
        <f t="shared" si="19"/>
        <v>TINYINT</v>
      </c>
      <c r="X44" s="33" t="s">
        <v>162</v>
      </c>
      <c r="Y44" s="33"/>
      <c r="Z44" s="45" t="s">
        <v>22</v>
      </c>
      <c r="AA44" s="33">
        <v>0</v>
      </c>
      <c r="AB44" s="33"/>
      <c r="AC44" s="33"/>
      <c r="AD44" s="33"/>
    </row>
    <row r="45" s="2" customFormat="1" spans="1:30">
      <c r="A45" s="33">
        <f t="shared" si="20"/>
        <v>7</v>
      </c>
      <c r="B45" s="34"/>
      <c r="C45" s="33" t="s">
        <v>164</v>
      </c>
      <c r="D45" s="35" t="s">
        <v>165</v>
      </c>
      <c r="E45" s="33"/>
      <c r="F45" s="33" t="s">
        <v>141</v>
      </c>
      <c r="G45" s="33" t="s">
        <v>142</v>
      </c>
      <c r="H45" s="33">
        <v>32</v>
      </c>
      <c r="I45" s="45"/>
      <c r="J45" s="33"/>
      <c r="K45" s="33"/>
      <c r="L45" s="33"/>
      <c r="M45" s="33"/>
      <c r="P45" s="70"/>
      <c r="R45" s="33">
        <f t="shared" si="21"/>
        <v>7</v>
      </c>
      <c r="S45" s="34"/>
      <c r="T45" s="33" t="str">
        <f t="shared" si="17"/>
        <v>created_by</v>
      </c>
      <c r="U45" s="35" t="str">
        <f t="shared" si="18"/>
        <v>登録者ID</v>
      </c>
      <c r="V45" s="33"/>
      <c r="W45" s="33" t="str">
        <f t="shared" si="19"/>
        <v>VARCHAR</v>
      </c>
      <c r="X45" s="33" t="s">
        <v>142</v>
      </c>
      <c r="Y45" s="33">
        <v>32</v>
      </c>
      <c r="Z45" s="45"/>
      <c r="AA45" s="33"/>
      <c r="AB45" s="33"/>
      <c r="AC45" s="33"/>
      <c r="AD45" s="33"/>
    </row>
    <row r="46" s="2" customFormat="1" spans="1:30">
      <c r="A46" s="33">
        <f t="shared" si="20"/>
        <v>8</v>
      </c>
      <c r="B46" s="34"/>
      <c r="C46" s="33" t="s">
        <v>166</v>
      </c>
      <c r="D46" s="35" t="s">
        <v>167</v>
      </c>
      <c r="E46" s="33"/>
      <c r="F46" s="33" t="s">
        <v>153</v>
      </c>
      <c r="G46" s="33" t="s">
        <v>142</v>
      </c>
      <c r="H46" s="33">
        <v>32</v>
      </c>
      <c r="I46" s="45"/>
      <c r="J46" s="33"/>
      <c r="K46" s="33"/>
      <c r="L46" s="33"/>
      <c r="M46" s="33" t="s">
        <v>168</v>
      </c>
      <c r="P46" s="70"/>
      <c r="R46" s="33">
        <f t="shared" si="21"/>
        <v>8</v>
      </c>
      <c r="S46" s="34"/>
      <c r="T46" s="33" t="str">
        <f t="shared" si="17"/>
        <v>created_path</v>
      </c>
      <c r="U46" s="35" t="str">
        <f t="shared" si="18"/>
        <v>登録パス</v>
      </c>
      <c r="V46" s="33"/>
      <c r="W46" s="33" t="str">
        <f t="shared" si="19"/>
        <v>TINYINT</v>
      </c>
      <c r="X46" s="33" t="s">
        <v>142</v>
      </c>
      <c r="Y46" s="33">
        <v>32</v>
      </c>
      <c r="Z46" s="45"/>
      <c r="AA46" s="33"/>
      <c r="AB46" s="33"/>
      <c r="AC46" s="33"/>
      <c r="AD46" s="33" t="s">
        <v>169</v>
      </c>
    </row>
    <row r="47" s="2" customFormat="1" spans="1:30">
      <c r="A47" s="33">
        <f t="shared" si="20"/>
        <v>9</v>
      </c>
      <c r="B47" s="34"/>
      <c r="C47" s="36" t="s">
        <v>170</v>
      </c>
      <c r="D47" s="35" t="s">
        <v>171</v>
      </c>
      <c r="E47" s="33"/>
      <c r="F47" s="33" t="s">
        <v>172</v>
      </c>
      <c r="G47" s="33" t="s">
        <v>173</v>
      </c>
      <c r="H47" s="33" t="s">
        <v>8</v>
      </c>
      <c r="I47" s="45" t="s">
        <v>22</v>
      </c>
      <c r="J47" s="33"/>
      <c r="K47" s="33"/>
      <c r="L47" s="33"/>
      <c r="M47" s="33"/>
      <c r="P47" s="70"/>
      <c r="R47" s="33">
        <f t="shared" si="21"/>
        <v>9</v>
      </c>
      <c r="S47" s="34"/>
      <c r="T47" s="33" t="str">
        <f t="shared" si="17"/>
        <v>created_dt</v>
      </c>
      <c r="U47" s="35" t="str">
        <f t="shared" si="18"/>
        <v>レコード登録日時</v>
      </c>
      <c r="V47" s="33"/>
      <c r="W47" s="33" t="str">
        <f t="shared" si="19"/>
        <v>DATETIME</v>
      </c>
      <c r="X47" s="33" t="s">
        <v>173</v>
      </c>
      <c r="Y47" s="33" t="s">
        <v>8</v>
      </c>
      <c r="Z47" s="45" t="s">
        <v>22</v>
      </c>
      <c r="AA47" s="33"/>
      <c r="AB47" s="33"/>
      <c r="AC47" s="33"/>
      <c r="AD47" s="33"/>
    </row>
    <row r="48" s="2" customFormat="1" spans="1:30">
      <c r="A48" s="33">
        <f t="shared" si="20"/>
        <v>10</v>
      </c>
      <c r="B48" s="34"/>
      <c r="C48" s="33" t="s">
        <v>174</v>
      </c>
      <c r="D48" s="35" t="s">
        <v>175</v>
      </c>
      <c r="E48" s="33"/>
      <c r="F48" s="33" t="s">
        <v>141</v>
      </c>
      <c r="G48" s="33" t="s">
        <v>142</v>
      </c>
      <c r="H48" s="33">
        <v>32</v>
      </c>
      <c r="I48" s="45"/>
      <c r="J48" s="33"/>
      <c r="K48" s="33"/>
      <c r="L48" s="33"/>
      <c r="M48" s="33"/>
      <c r="P48" s="70"/>
      <c r="R48" s="33">
        <f t="shared" si="21"/>
        <v>10</v>
      </c>
      <c r="S48" s="34"/>
      <c r="T48" s="33" t="str">
        <f t="shared" si="17"/>
        <v>updated_by</v>
      </c>
      <c r="U48" s="35" t="str">
        <f t="shared" si="18"/>
        <v>更新者ID</v>
      </c>
      <c r="V48" s="33"/>
      <c r="W48" s="33" t="str">
        <f t="shared" si="19"/>
        <v>VARCHAR</v>
      </c>
      <c r="X48" s="33" t="s">
        <v>142</v>
      </c>
      <c r="Y48" s="33">
        <v>32</v>
      </c>
      <c r="Z48" s="45"/>
      <c r="AA48" s="33"/>
      <c r="AB48" s="33"/>
      <c r="AC48" s="33"/>
      <c r="AD48" s="33"/>
    </row>
    <row r="49" s="2" customFormat="1" ht="33.75" spans="1:30">
      <c r="A49" s="33">
        <f t="shared" si="20"/>
        <v>11</v>
      </c>
      <c r="B49" s="34"/>
      <c r="C49" s="33" t="s">
        <v>176</v>
      </c>
      <c r="D49" s="35" t="s">
        <v>177</v>
      </c>
      <c r="E49" s="33" t="s">
        <v>178</v>
      </c>
      <c r="F49" s="33" t="s">
        <v>153</v>
      </c>
      <c r="G49" s="33" t="s">
        <v>142</v>
      </c>
      <c r="H49" s="33">
        <v>32</v>
      </c>
      <c r="I49" s="45"/>
      <c r="J49" s="33"/>
      <c r="K49" s="33"/>
      <c r="L49" s="33"/>
      <c r="M49" s="33" t="s">
        <v>179</v>
      </c>
      <c r="P49" s="70"/>
      <c r="R49" s="33">
        <f t="shared" si="21"/>
        <v>11</v>
      </c>
      <c r="S49" s="34"/>
      <c r="T49" s="33" t="str">
        <f t="shared" si="17"/>
        <v>updated_path</v>
      </c>
      <c r="U49" s="35" t="str">
        <f t="shared" si="18"/>
        <v>更新パス</v>
      </c>
      <c r="V49" s="33" t="s">
        <v>180</v>
      </c>
      <c r="W49" s="33" t="str">
        <f t="shared" si="19"/>
        <v>TINYINT</v>
      </c>
      <c r="X49" s="33" t="s">
        <v>142</v>
      </c>
      <c r="Y49" s="33">
        <v>32</v>
      </c>
      <c r="Z49" s="45"/>
      <c r="AA49" s="33"/>
      <c r="AB49" s="33"/>
      <c r="AC49" s="33"/>
      <c r="AD49" s="33" t="s">
        <v>181</v>
      </c>
    </row>
    <row r="50" s="2" customFormat="1" spans="1:30">
      <c r="A50" s="33">
        <f t="shared" si="20"/>
        <v>12</v>
      </c>
      <c r="B50" s="34"/>
      <c r="C50" s="36" t="s">
        <v>182</v>
      </c>
      <c r="D50" s="35" t="s">
        <v>183</v>
      </c>
      <c r="E50" s="33"/>
      <c r="F50" s="33" t="s">
        <v>172</v>
      </c>
      <c r="G50" s="33" t="s">
        <v>173</v>
      </c>
      <c r="H50" s="33" t="s">
        <v>8</v>
      </c>
      <c r="I50" s="45" t="s">
        <v>22</v>
      </c>
      <c r="J50" s="33"/>
      <c r="K50" s="33"/>
      <c r="L50" s="33"/>
      <c r="M50" s="33"/>
      <c r="P50" s="70"/>
      <c r="R50" s="33">
        <f t="shared" si="21"/>
        <v>12</v>
      </c>
      <c r="S50" s="34"/>
      <c r="T50" s="33" t="str">
        <f t="shared" ref="T50:T59" si="22">C50</f>
        <v>updated_dt</v>
      </c>
      <c r="U50" s="35" t="str">
        <f t="shared" si="18"/>
        <v>レコード更新日時</v>
      </c>
      <c r="V50" s="33"/>
      <c r="W50" s="33" t="str">
        <f t="shared" si="19"/>
        <v>DATETIME</v>
      </c>
      <c r="X50" s="33" t="s">
        <v>173</v>
      </c>
      <c r="Y50" s="33" t="s">
        <v>8</v>
      </c>
      <c r="Z50" s="45" t="s">
        <v>22</v>
      </c>
      <c r="AA50" s="33"/>
      <c r="AB50" s="33"/>
      <c r="AC50" s="33"/>
      <c r="AD50" s="33"/>
    </row>
    <row r="51" spans="15:15">
      <c r="O51" s="2"/>
    </row>
    <row r="52" spans="1:26">
      <c r="A52" s="6"/>
      <c r="B52" s="7" t="s">
        <v>15</v>
      </c>
      <c r="C52" s="8" t="s">
        <v>28</v>
      </c>
      <c r="D52" s="9"/>
      <c r="I52" s="37"/>
      <c r="O52" s="2"/>
      <c r="R52" s="6"/>
      <c r="S52" s="7" t="s">
        <v>86</v>
      </c>
      <c r="T52" s="8" t="s">
        <v>204</v>
      </c>
      <c r="U52" s="9"/>
      <c r="Z52" s="37"/>
    </row>
    <row r="53" spans="1:30">
      <c r="A53" s="10"/>
      <c r="B53" s="11" t="s">
        <v>124</v>
      </c>
      <c r="C53" s="8" t="str">
        <f>テーブル一覧!E6</f>
        <v>M_SOD_SERVICE_PLAN</v>
      </c>
      <c r="D53" s="9"/>
      <c r="E53" s="3" t="s">
        <v>27</v>
      </c>
      <c r="F53" s="3"/>
      <c r="G53" s="3"/>
      <c r="H53" s="3"/>
      <c r="I53" s="37"/>
      <c r="J53" s="3"/>
      <c r="K53" s="3"/>
      <c r="L53" s="3"/>
      <c r="M53" s="38"/>
      <c r="O53" s="2"/>
      <c r="R53" s="10"/>
      <c r="S53" s="11" t="s">
        <v>125</v>
      </c>
      <c r="T53" s="8" t="str">
        <f t="shared" si="22"/>
        <v>M_SOD_SERVICE_PLAN</v>
      </c>
      <c r="U53" s="9"/>
      <c r="V53" s="3" t="s">
        <v>27</v>
      </c>
      <c r="W53" s="3"/>
      <c r="X53" s="3"/>
      <c r="Y53" s="3"/>
      <c r="Z53" s="37"/>
      <c r="AA53" s="3"/>
      <c r="AB53" s="3"/>
      <c r="AC53" s="3"/>
      <c r="AD53" s="38"/>
    </row>
    <row r="54" ht="22.5" spans="1:30">
      <c r="A54" s="12" t="s">
        <v>0</v>
      </c>
      <c r="B54" s="13"/>
      <c r="C54" s="14" t="s">
        <v>126</v>
      </c>
      <c r="D54" s="15" t="s">
        <v>15</v>
      </c>
      <c r="E54" s="14" t="s">
        <v>16</v>
      </c>
      <c r="F54" s="16" t="s">
        <v>127</v>
      </c>
      <c r="G54" s="14" t="s">
        <v>127</v>
      </c>
      <c r="H54" s="14" t="s">
        <v>128</v>
      </c>
      <c r="I54" s="39" t="s">
        <v>129</v>
      </c>
      <c r="J54" s="14" t="s">
        <v>130</v>
      </c>
      <c r="K54" s="14" t="s">
        <v>131</v>
      </c>
      <c r="L54" s="14" t="s">
        <v>132</v>
      </c>
      <c r="M54" s="14" t="s">
        <v>6</v>
      </c>
      <c r="O54" s="2"/>
      <c r="R54" s="12" t="s">
        <v>0</v>
      </c>
      <c r="S54" s="13"/>
      <c r="T54" s="14" t="s">
        <v>133</v>
      </c>
      <c r="U54" s="15" t="s">
        <v>86</v>
      </c>
      <c r="V54" s="14" t="s">
        <v>87</v>
      </c>
      <c r="W54" s="16" t="s">
        <v>134</v>
      </c>
      <c r="X54" s="14" t="s">
        <v>134</v>
      </c>
      <c r="Y54" s="14" t="s">
        <v>128</v>
      </c>
      <c r="Z54" s="39" t="s">
        <v>135</v>
      </c>
      <c r="AA54" s="14" t="s">
        <v>130</v>
      </c>
      <c r="AB54" s="14" t="s">
        <v>136</v>
      </c>
      <c r="AC54" s="14" t="s">
        <v>132</v>
      </c>
      <c r="AD54" s="14" t="s">
        <v>137</v>
      </c>
    </row>
    <row r="55" s="2" customFormat="1" spans="1:30">
      <c r="A55" s="31">
        <v>1</v>
      </c>
      <c r="B55" s="59"/>
      <c r="C55" s="31" t="s">
        <v>205</v>
      </c>
      <c r="D55" s="87" t="s">
        <v>206</v>
      </c>
      <c r="E55" s="31" t="s">
        <v>207</v>
      </c>
      <c r="F55" s="31" t="s">
        <v>141</v>
      </c>
      <c r="G55" s="31" t="s">
        <v>142</v>
      </c>
      <c r="H55" s="31">
        <v>32</v>
      </c>
      <c r="I55" s="43" t="s">
        <v>22</v>
      </c>
      <c r="J55" s="31"/>
      <c r="K55" s="31"/>
      <c r="L55" s="87" t="s">
        <v>188</v>
      </c>
      <c r="M55" s="31"/>
      <c r="P55" s="140"/>
      <c r="R55" s="31">
        <v>1</v>
      </c>
      <c r="S55" s="59"/>
      <c r="T55" s="31" t="str">
        <f t="shared" si="22"/>
        <v>service_plan_id</v>
      </c>
      <c r="U55" s="87" t="str">
        <f t="shared" ref="U55:U59" si="23">D55</f>
        <v>サービスプランID</v>
      </c>
      <c r="V55" s="31" t="s">
        <v>208</v>
      </c>
      <c r="W55" s="31" t="str">
        <f t="shared" ref="W55:W59" si="24">F55</f>
        <v>VARCHAR</v>
      </c>
      <c r="X55" s="31" t="s">
        <v>142</v>
      </c>
      <c r="Y55" s="31">
        <v>32</v>
      </c>
      <c r="Z55" s="43" t="s">
        <v>22</v>
      </c>
      <c r="AA55" s="31"/>
      <c r="AB55" s="31"/>
      <c r="AC55" s="87" t="s">
        <v>188</v>
      </c>
      <c r="AD55" s="31"/>
    </row>
    <row r="56" s="2" customFormat="1" spans="1:30">
      <c r="A56" s="31">
        <f t="shared" ref="A56:A76" si="25">A55+1</f>
        <v>2</v>
      </c>
      <c r="B56" s="59"/>
      <c r="C56" s="31" t="s">
        <v>196</v>
      </c>
      <c r="D56" s="87" t="s">
        <v>197</v>
      </c>
      <c r="E56" s="31" t="s">
        <v>209</v>
      </c>
      <c r="F56" s="31" t="s">
        <v>141</v>
      </c>
      <c r="G56" s="31" t="s">
        <v>142</v>
      </c>
      <c r="H56" s="31">
        <v>32</v>
      </c>
      <c r="I56" s="43" t="s">
        <v>22</v>
      </c>
      <c r="J56" s="226" t="s">
        <v>210</v>
      </c>
      <c r="K56" s="31"/>
      <c r="L56" s="31"/>
      <c r="M56" s="31" t="s">
        <v>211</v>
      </c>
      <c r="P56" s="140"/>
      <c r="R56" s="31">
        <f t="shared" ref="R56:R76" si="26">R55+1</f>
        <v>2</v>
      </c>
      <c r="S56" s="59"/>
      <c r="T56" s="31" t="str">
        <f t="shared" si="22"/>
        <v>service_id</v>
      </c>
      <c r="U56" s="87" t="str">
        <f t="shared" si="23"/>
        <v>サービスID</v>
      </c>
      <c r="V56" s="31" t="s">
        <v>212</v>
      </c>
      <c r="W56" s="31" t="str">
        <f t="shared" si="24"/>
        <v>VARCHAR</v>
      </c>
      <c r="X56" s="31" t="s">
        <v>142</v>
      </c>
      <c r="Y56" s="31">
        <v>32</v>
      </c>
      <c r="Z56" s="43" t="s">
        <v>22</v>
      </c>
      <c r="AA56" s="226" t="s">
        <v>210</v>
      </c>
      <c r="AB56" s="31"/>
      <c r="AC56" s="31"/>
      <c r="AD56" s="31" t="s">
        <v>213</v>
      </c>
    </row>
    <row r="57" s="2" customFormat="1" spans="1:30">
      <c r="A57" s="31">
        <f t="shared" si="25"/>
        <v>3</v>
      </c>
      <c r="B57" s="59"/>
      <c r="C57" s="31" t="s">
        <v>214</v>
      </c>
      <c r="D57" s="87" t="s">
        <v>215</v>
      </c>
      <c r="E57" s="31"/>
      <c r="F57" s="31" t="s">
        <v>141</v>
      </c>
      <c r="G57" s="31" t="s">
        <v>142</v>
      </c>
      <c r="H57" s="31">
        <v>128</v>
      </c>
      <c r="I57" s="43" t="s">
        <v>22</v>
      </c>
      <c r="J57" s="31"/>
      <c r="K57" s="31"/>
      <c r="L57" s="31" t="s">
        <v>216</v>
      </c>
      <c r="M57" s="31"/>
      <c r="P57" s="140"/>
      <c r="R57" s="31">
        <f t="shared" si="26"/>
        <v>3</v>
      </c>
      <c r="S57" s="59"/>
      <c r="T57" s="31" t="str">
        <f t="shared" si="22"/>
        <v>service_plan_name</v>
      </c>
      <c r="U57" s="87" t="str">
        <f t="shared" si="23"/>
        <v>サービスプラン名</v>
      </c>
      <c r="V57" s="31"/>
      <c r="W57" s="31" t="str">
        <f t="shared" si="24"/>
        <v>VARCHAR</v>
      </c>
      <c r="X57" s="31" t="s">
        <v>142</v>
      </c>
      <c r="Y57" s="31">
        <v>128</v>
      </c>
      <c r="Z57" s="43" t="s">
        <v>22</v>
      </c>
      <c r="AA57" s="31"/>
      <c r="AB57" s="31"/>
      <c r="AC57" s="31" t="s">
        <v>216</v>
      </c>
      <c r="AD57" s="31"/>
    </row>
    <row r="58" s="2" customFormat="1" spans="1:30">
      <c r="A58" s="31">
        <f t="shared" si="25"/>
        <v>4</v>
      </c>
      <c r="B58" s="59"/>
      <c r="C58" s="31" t="s">
        <v>217</v>
      </c>
      <c r="D58" s="87" t="s">
        <v>218</v>
      </c>
      <c r="E58" s="31" t="s">
        <v>219</v>
      </c>
      <c r="F58" s="31" t="s">
        <v>141</v>
      </c>
      <c r="G58" s="31" t="s">
        <v>142</v>
      </c>
      <c r="H58" s="31">
        <v>128</v>
      </c>
      <c r="I58" s="43" t="s">
        <v>22</v>
      </c>
      <c r="J58" s="31"/>
      <c r="K58" s="31"/>
      <c r="L58" s="31"/>
      <c r="M58" s="31"/>
      <c r="P58" s="140"/>
      <c r="R58" s="31">
        <f t="shared" si="26"/>
        <v>4</v>
      </c>
      <c r="S58" s="59"/>
      <c r="T58" s="31" t="str">
        <f t="shared" si="22"/>
        <v>option01</v>
      </c>
      <c r="U58" s="87" t="str">
        <f t="shared" si="23"/>
        <v>予備コード１</v>
      </c>
      <c r="V58" s="31" t="s">
        <v>220</v>
      </c>
      <c r="W58" s="31" t="str">
        <f t="shared" si="24"/>
        <v>VARCHAR</v>
      </c>
      <c r="X58" s="31" t="s">
        <v>142</v>
      </c>
      <c r="Y58" s="31">
        <v>128</v>
      </c>
      <c r="Z58" s="43" t="s">
        <v>22</v>
      </c>
      <c r="AA58" s="31"/>
      <c r="AB58" s="31"/>
      <c r="AC58" s="31"/>
      <c r="AD58" s="31"/>
    </row>
    <row r="59" s="2" customFormat="1" ht="33.75" spans="1:30">
      <c r="A59" s="32">
        <f t="shared" si="25"/>
        <v>5</v>
      </c>
      <c r="B59" s="51"/>
      <c r="C59" s="32" t="s">
        <v>221</v>
      </c>
      <c r="D59" s="52" t="s">
        <v>222</v>
      </c>
      <c r="E59" s="32" t="s">
        <v>223</v>
      </c>
      <c r="F59" s="32" t="s">
        <v>141</v>
      </c>
      <c r="G59" s="32" t="s">
        <v>142</v>
      </c>
      <c r="H59" s="32">
        <v>128</v>
      </c>
      <c r="I59" s="43" t="s">
        <v>22</v>
      </c>
      <c r="J59" s="227" t="s">
        <v>224</v>
      </c>
      <c r="K59" s="32"/>
      <c r="L59" s="32"/>
      <c r="M59" s="32" t="s">
        <v>225</v>
      </c>
      <c r="P59" s="140"/>
      <c r="R59" s="32">
        <f t="shared" si="26"/>
        <v>5</v>
      </c>
      <c r="S59" s="51"/>
      <c r="T59" s="31" t="str">
        <f t="shared" si="22"/>
        <v>option02</v>
      </c>
      <c r="U59" s="87" t="str">
        <f t="shared" si="23"/>
        <v>予備コード２</v>
      </c>
      <c r="V59" s="32" t="s">
        <v>226</v>
      </c>
      <c r="W59" s="31" t="str">
        <f t="shared" si="24"/>
        <v>VARCHAR</v>
      </c>
      <c r="X59" s="32" t="s">
        <v>142</v>
      </c>
      <c r="Y59" s="32">
        <v>128</v>
      </c>
      <c r="Z59" s="43" t="s">
        <v>22</v>
      </c>
      <c r="AA59" s="227" t="s">
        <v>224</v>
      </c>
      <c r="AB59" s="32"/>
      <c r="AC59" s="32"/>
      <c r="AD59" s="32" t="s">
        <v>227</v>
      </c>
    </row>
    <row r="60" s="2" customFormat="1" spans="1:30">
      <c r="A60" s="61">
        <f t="shared" si="25"/>
        <v>6</v>
      </c>
      <c r="B60" s="62"/>
      <c r="C60" s="61" t="s">
        <v>228</v>
      </c>
      <c r="D60" s="63" t="s">
        <v>229</v>
      </c>
      <c r="E60" s="61"/>
      <c r="F60" s="61" t="s">
        <v>141</v>
      </c>
      <c r="G60" s="61" t="s">
        <v>142</v>
      </c>
      <c r="H60" s="61">
        <v>128</v>
      </c>
      <c r="I60" s="69"/>
      <c r="J60" s="61"/>
      <c r="K60" s="61"/>
      <c r="L60" s="61"/>
      <c r="M60" s="61" t="s">
        <v>230</v>
      </c>
      <c r="P60" s="140"/>
      <c r="R60" s="61">
        <f t="shared" si="26"/>
        <v>6</v>
      </c>
      <c r="S60" s="62"/>
      <c r="T60" s="61" t="s">
        <v>228</v>
      </c>
      <c r="U60" s="63" t="s">
        <v>229</v>
      </c>
      <c r="V60" s="61"/>
      <c r="W60" s="61" t="s">
        <v>141</v>
      </c>
      <c r="X60" s="61" t="s">
        <v>142</v>
      </c>
      <c r="Y60" s="61">
        <v>128</v>
      </c>
      <c r="Z60" s="69"/>
      <c r="AA60" s="61"/>
      <c r="AB60" s="61"/>
      <c r="AC60" s="61"/>
      <c r="AD60" s="61" t="s">
        <v>231</v>
      </c>
    </row>
    <row r="61" s="2" customFormat="1" spans="1:30">
      <c r="A61" s="61">
        <f t="shared" si="25"/>
        <v>7</v>
      </c>
      <c r="B61" s="62"/>
      <c r="C61" s="61" t="s">
        <v>232</v>
      </c>
      <c r="D61" s="63" t="s">
        <v>233</v>
      </c>
      <c r="E61" s="61"/>
      <c r="F61" s="61" t="s">
        <v>141</v>
      </c>
      <c r="G61" s="61" t="s">
        <v>142</v>
      </c>
      <c r="H61" s="61">
        <v>128</v>
      </c>
      <c r="I61" s="69"/>
      <c r="J61" s="61"/>
      <c r="K61" s="61"/>
      <c r="L61" s="61"/>
      <c r="M61" s="61" t="s">
        <v>230</v>
      </c>
      <c r="P61" s="140"/>
      <c r="R61" s="61">
        <f t="shared" si="26"/>
        <v>7</v>
      </c>
      <c r="S61" s="62"/>
      <c r="T61" s="61" t="s">
        <v>232</v>
      </c>
      <c r="U61" s="63" t="s">
        <v>233</v>
      </c>
      <c r="V61" s="61"/>
      <c r="W61" s="61" t="s">
        <v>141</v>
      </c>
      <c r="X61" s="61" t="s">
        <v>142</v>
      </c>
      <c r="Y61" s="61">
        <v>128</v>
      </c>
      <c r="Z61" s="69"/>
      <c r="AA61" s="61"/>
      <c r="AB61" s="61"/>
      <c r="AC61" s="61"/>
      <c r="AD61" s="61" t="s">
        <v>231</v>
      </c>
    </row>
    <row r="62" s="2" customFormat="1" spans="1:30">
      <c r="A62" s="61">
        <f t="shared" si="25"/>
        <v>8</v>
      </c>
      <c r="B62" s="62"/>
      <c r="C62" s="61" t="s">
        <v>234</v>
      </c>
      <c r="D62" s="63" t="s">
        <v>235</v>
      </c>
      <c r="E62" s="61"/>
      <c r="F62" s="61" t="s">
        <v>141</v>
      </c>
      <c r="G62" s="61" t="s">
        <v>142</v>
      </c>
      <c r="H62" s="61">
        <v>128</v>
      </c>
      <c r="I62" s="69"/>
      <c r="J62" s="61"/>
      <c r="K62" s="61"/>
      <c r="L62" s="61"/>
      <c r="M62" s="61" t="s">
        <v>230</v>
      </c>
      <c r="P62" s="140"/>
      <c r="R62" s="61">
        <f t="shared" si="26"/>
        <v>8</v>
      </c>
      <c r="S62" s="62"/>
      <c r="T62" s="61" t="s">
        <v>234</v>
      </c>
      <c r="U62" s="63" t="s">
        <v>235</v>
      </c>
      <c r="V62" s="61"/>
      <c r="W62" s="61" t="s">
        <v>141</v>
      </c>
      <c r="X62" s="61" t="s">
        <v>142</v>
      </c>
      <c r="Y62" s="61">
        <v>128</v>
      </c>
      <c r="Z62" s="69"/>
      <c r="AA62" s="61"/>
      <c r="AB62" s="61"/>
      <c r="AC62" s="61"/>
      <c r="AD62" s="61" t="s">
        <v>231</v>
      </c>
    </row>
    <row r="63" s="2" customFormat="1" spans="1:30">
      <c r="A63" s="61">
        <f t="shared" si="25"/>
        <v>9</v>
      </c>
      <c r="B63" s="62"/>
      <c r="C63" s="61" t="s">
        <v>236</v>
      </c>
      <c r="D63" s="63" t="s">
        <v>237</v>
      </c>
      <c r="E63" s="61"/>
      <c r="F63" s="61" t="s">
        <v>141</v>
      </c>
      <c r="G63" s="61" t="s">
        <v>142</v>
      </c>
      <c r="H63" s="61">
        <v>128</v>
      </c>
      <c r="I63" s="69"/>
      <c r="J63" s="61"/>
      <c r="K63" s="61"/>
      <c r="L63" s="61"/>
      <c r="M63" s="61" t="s">
        <v>230</v>
      </c>
      <c r="P63" s="140"/>
      <c r="R63" s="61">
        <f t="shared" si="26"/>
        <v>9</v>
      </c>
      <c r="S63" s="62"/>
      <c r="T63" s="61" t="s">
        <v>236</v>
      </c>
      <c r="U63" s="63" t="s">
        <v>237</v>
      </c>
      <c r="V63" s="61"/>
      <c r="W63" s="61" t="s">
        <v>141</v>
      </c>
      <c r="X63" s="61" t="s">
        <v>142</v>
      </c>
      <c r="Y63" s="61">
        <v>128</v>
      </c>
      <c r="Z63" s="69"/>
      <c r="AA63" s="61"/>
      <c r="AB63" s="61"/>
      <c r="AC63" s="61"/>
      <c r="AD63" s="61" t="s">
        <v>231</v>
      </c>
    </row>
    <row r="64" s="2" customFormat="1" spans="1:30">
      <c r="A64" s="61">
        <f t="shared" si="25"/>
        <v>10</v>
      </c>
      <c r="B64" s="62"/>
      <c r="C64" s="61" t="s">
        <v>238</v>
      </c>
      <c r="D64" s="63" t="s">
        <v>239</v>
      </c>
      <c r="E64" s="61"/>
      <c r="F64" s="61" t="s">
        <v>141</v>
      </c>
      <c r="G64" s="61" t="s">
        <v>142</v>
      </c>
      <c r="H64" s="61">
        <v>128</v>
      </c>
      <c r="I64" s="69"/>
      <c r="J64" s="61"/>
      <c r="K64" s="61"/>
      <c r="L64" s="61"/>
      <c r="M64" s="61" t="s">
        <v>230</v>
      </c>
      <c r="P64" s="140"/>
      <c r="R64" s="61">
        <f t="shared" si="26"/>
        <v>10</v>
      </c>
      <c r="S64" s="62"/>
      <c r="T64" s="61" t="s">
        <v>238</v>
      </c>
      <c r="U64" s="63" t="s">
        <v>239</v>
      </c>
      <c r="V64" s="61"/>
      <c r="W64" s="61" t="s">
        <v>141</v>
      </c>
      <c r="X64" s="61" t="s">
        <v>142</v>
      </c>
      <c r="Y64" s="61">
        <v>128</v>
      </c>
      <c r="Z64" s="69"/>
      <c r="AA64" s="61"/>
      <c r="AB64" s="61"/>
      <c r="AC64" s="61"/>
      <c r="AD64" s="61" t="s">
        <v>231</v>
      </c>
    </row>
    <row r="65" s="2" customFormat="1" spans="1:30">
      <c r="A65" s="61">
        <f t="shared" si="25"/>
        <v>11</v>
      </c>
      <c r="B65" s="62"/>
      <c r="C65" s="61" t="s">
        <v>240</v>
      </c>
      <c r="D65" s="63" t="s">
        <v>241</v>
      </c>
      <c r="E65" s="61"/>
      <c r="F65" s="61" t="s">
        <v>141</v>
      </c>
      <c r="G65" s="61" t="s">
        <v>142</v>
      </c>
      <c r="H65" s="61">
        <v>128</v>
      </c>
      <c r="I65" s="69"/>
      <c r="J65" s="61"/>
      <c r="K65" s="61"/>
      <c r="L65" s="61"/>
      <c r="M65" s="61" t="s">
        <v>230</v>
      </c>
      <c r="P65" s="140"/>
      <c r="R65" s="61">
        <f t="shared" si="26"/>
        <v>11</v>
      </c>
      <c r="S65" s="62"/>
      <c r="T65" s="61" t="s">
        <v>240</v>
      </c>
      <c r="U65" s="63" t="s">
        <v>241</v>
      </c>
      <c r="V65" s="61"/>
      <c r="W65" s="61" t="s">
        <v>141</v>
      </c>
      <c r="X65" s="61" t="s">
        <v>142</v>
      </c>
      <c r="Y65" s="61">
        <v>128</v>
      </c>
      <c r="Z65" s="69"/>
      <c r="AA65" s="61"/>
      <c r="AB65" s="61"/>
      <c r="AC65" s="61"/>
      <c r="AD65" s="61" t="s">
        <v>231</v>
      </c>
    </row>
    <row r="66" s="2" customFormat="1" spans="1:30">
      <c r="A66" s="61">
        <f t="shared" si="25"/>
        <v>12</v>
      </c>
      <c r="B66" s="62"/>
      <c r="C66" s="61" t="s">
        <v>242</v>
      </c>
      <c r="D66" s="63" t="s">
        <v>243</v>
      </c>
      <c r="E66" s="61"/>
      <c r="F66" s="61" t="s">
        <v>141</v>
      </c>
      <c r="G66" s="61" t="s">
        <v>142</v>
      </c>
      <c r="H66" s="61">
        <v>128</v>
      </c>
      <c r="I66" s="69"/>
      <c r="J66" s="61"/>
      <c r="K66" s="61"/>
      <c r="L66" s="61"/>
      <c r="M66" s="61" t="s">
        <v>230</v>
      </c>
      <c r="P66" s="140"/>
      <c r="R66" s="61">
        <f t="shared" si="26"/>
        <v>12</v>
      </c>
      <c r="S66" s="62"/>
      <c r="T66" s="61" t="s">
        <v>242</v>
      </c>
      <c r="U66" s="63" t="s">
        <v>243</v>
      </c>
      <c r="V66" s="61"/>
      <c r="W66" s="61" t="s">
        <v>141</v>
      </c>
      <c r="X66" s="61" t="s">
        <v>142</v>
      </c>
      <c r="Y66" s="61">
        <v>128</v>
      </c>
      <c r="Z66" s="69"/>
      <c r="AA66" s="61"/>
      <c r="AB66" s="61"/>
      <c r="AC66" s="61"/>
      <c r="AD66" s="61" t="s">
        <v>231</v>
      </c>
    </row>
    <row r="67" s="2" customFormat="1" spans="1:30">
      <c r="A67" s="61">
        <f t="shared" si="25"/>
        <v>13</v>
      </c>
      <c r="B67" s="62"/>
      <c r="C67" s="61" t="s">
        <v>244</v>
      </c>
      <c r="D67" s="63" t="s">
        <v>245</v>
      </c>
      <c r="E67" s="61"/>
      <c r="F67" s="61" t="s">
        <v>141</v>
      </c>
      <c r="G67" s="61" t="s">
        <v>142</v>
      </c>
      <c r="H67" s="61">
        <v>128</v>
      </c>
      <c r="I67" s="69"/>
      <c r="J67" s="61"/>
      <c r="K67" s="61"/>
      <c r="L67" s="61"/>
      <c r="M67" s="61" t="s">
        <v>230</v>
      </c>
      <c r="P67" s="140"/>
      <c r="R67" s="61">
        <f t="shared" si="26"/>
        <v>13</v>
      </c>
      <c r="S67" s="62"/>
      <c r="T67" s="61" t="s">
        <v>244</v>
      </c>
      <c r="U67" s="63" t="s">
        <v>245</v>
      </c>
      <c r="V67" s="61"/>
      <c r="W67" s="61" t="s">
        <v>141</v>
      </c>
      <c r="X67" s="61" t="s">
        <v>142</v>
      </c>
      <c r="Y67" s="61">
        <v>128</v>
      </c>
      <c r="Z67" s="69"/>
      <c r="AA67" s="61"/>
      <c r="AB67" s="61"/>
      <c r="AC67" s="61"/>
      <c r="AD67" s="61" t="s">
        <v>231</v>
      </c>
    </row>
    <row r="68" s="2" customFormat="1" spans="1:30">
      <c r="A68" s="31">
        <f t="shared" si="25"/>
        <v>14</v>
      </c>
      <c r="B68" s="59"/>
      <c r="C68" s="31" t="s">
        <v>149</v>
      </c>
      <c r="D68" s="87" t="s">
        <v>6</v>
      </c>
      <c r="E68" s="31"/>
      <c r="F68" s="31" t="s">
        <v>141</v>
      </c>
      <c r="G68" s="31" t="s">
        <v>142</v>
      </c>
      <c r="H68" s="31">
        <v>256</v>
      </c>
      <c r="I68" s="43"/>
      <c r="J68" s="31"/>
      <c r="K68" s="31"/>
      <c r="L68" s="31"/>
      <c r="M68" s="31"/>
      <c r="P68" s="140"/>
      <c r="R68" s="31">
        <f t="shared" si="26"/>
        <v>14</v>
      </c>
      <c r="S68" s="59"/>
      <c r="T68" s="31" t="str">
        <f t="shared" ref="T68:T76" si="27">C68</f>
        <v>remarks</v>
      </c>
      <c r="U68" s="87" t="str">
        <f t="shared" ref="U68:U76" si="28">D68</f>
        <v>備考</v>
      </c>
      <c r="V68" s="31"/>
      <c r="W68" s="31" t="str">
        <f t="shared" ref="W68:W76" si="29">F68</f>
        <v>VARCHAR</v>
      </c>
      <c r="X68" s="31" t="s">
        <v>142</v>
      </c>
      <c r="Y68" s="31">
        <v>256</v>
      </c>
      <c r="Z68" s="43"/>
      <c r="AA68" s="31"/>
      <c r="AB68" s="31"/>
      <c r="AC68" s="31"/>
      <c r="AD68" s="31"/>
    </row>
    <row r="69" s="2" customFormat="1" ht="22.5" spans="1:30">
      <c r="A69" s="33">
        <f t="shared" si="25"/>
        <v>15</v>
      </c>
      <c r="B69" s="34"/>
      <c r="C69" s="33" t="s">
        <v>150</v>
      </c>
      <c r="D69" s="35" t="s">
        <v>151</v>
      </c>
      <c r="E69" s="33" t="s">
        <v>152</v>
      </c>
      <c r="F69" s="33" t="s">
        <v>153</v>
      </c>
      <c r="G69" s="33" t="s">
        <v>154</v>
      </c>
      <c r="H69" s="33" t="s">
        <v>8</v>
      </c>
      <c r="I69" s="45" t="s">
        <v>22</v>
      </c>
      <c r="J69" s="225" t="s">
        <v>155</v>
      </c>
      <c r="K69" s="33"/>
      <c r="L69" s="33"/>
      <c r="M69" s="33" t="s">
        <v>156</v>
      </c>
      <c r="P69" s="70"/>
      <c r="R69" s="33">
        <f t="shared" si="26"/>
        <v>15</v>
      </c>
      <c r="S69" s="34"/>
      <c r="T69" s="33" t="str">
        <f t="shared" si="27"/>
        <v>delete_flg</v>
      </c>
      <c r="U69" s="35" t="str">
        <f t="shared" si="28"/>
        <v>削除フラグ</v>
      </c>
      <c r="V69" s="33" t="s">
        <v>157</v>
      </c>
      <c r="W69" s="33" t="str">
        <f t="shared" si="29"/>
        <v>TINYINT</v>
      </c>
      <c r="X69" s="33" t="s">
        <v>154</v>
      </c>
      <c r="Y69" s="33" t="s">
        <v>8</v>
      </c>
      <c r="Z69" s="45" t="s">
        <v>22</v>
      </c>
      <c r="AA69" s="225" t="s">
        <v>155</v>
      </c>
      <c r="AB69" s="33"/>
      <c r="AC69" s="33"/>
      <c r="AD69" s="33" t="s">
        <v>158</v>
      </c>
    </row>
    <row r="70" s="2" customFormat="1" ht="22.5" spans="1:30">
      <c r="A70" s="33">
        <f t="shared" si="25"/>
        <v>16</v>
      </c>
      <c r="B70" s="34"/>
      <c r="C70" s="33" t="s">
        <v>159</v>
      </c>
      <c r="D70" s="35" t="s">
        <v>160</v>
      </c>
      <c r="E70" s="33" t="s">
        <v>161</v>
      </c>
      <c r="F70" s="33" t="s">
        <v>153</v>
      </c>
      <c r="G70" s="33" t="s">
        <v>162</v>
      </c>
      <c r="H70" s="33"/>
      <c r="I70" s="45" t="s">
        <v>22</v>
      </c>
      <c r="J70" s="33">
        <v>0</v>
      </c>
      <c r="K70" s="33"/>
      <c r="L70" s="33"/>
      <c r="M70" s="33"/>
      <c r="P70" s="70"/>
      <c r="R70" s="33">
        <f t="shared" si="26"/>
        <v>16</v>
      </c>
      <c r="S70" s="34"/>
      <c r="T70" s="33" t="str">
        <f t="shared" si="27"/>
        <v>version</v>
      </c>
      <c r="U70" s="35" t="str">
        <f t="shared" si="28"/>
        <v>バージョン</v>
      </c>
      <c r="V70" s="33" t="s">
        <v>163</v>
      </c>
      <c r="W70" s="33" t="str">
        <f t="shared" si="29"/>
        <v>TINYINT</v>
      </c>
      <c r="X70" s="33" t="s">
        <v>162</v>
      </c>
      <c r="Y70" s="33"/>
      <c r="Z70" s="45" t="s">
        <v>22</v>
      </c>
      <c r="AA70" s="33">
        <v>0</v>
      </c>
      <c r="AB70" s="33"/>
      <c r="AC70" s="33"/>
      <c r="AD70" s="33"/>
    </row>
    <row r="71" s="2" customFormat="1" spans="1:30">
      <c r="A71" s="33">
        <f t="shared" si="25"/>
        <v>17</v>
      </c>
      <c r="B71" s="34"/>
      <c r="C71" s="33" t="s">
        <v>164</v>
      </c>
      <c r="D71" s="35" t="s">
        <v>165</v>
      </c>
      <c r="E71" s="33"/>
      <c r="F71" s="33" t="s">
        <v>141</v>
      </c>
      <c r="G71" s="33" t="s">
        <v>142</v>
      </c>
      <c r="H71" s="33">
        <v>32</v>
      </c>
      <c r="I71" s="45"/>
      <c r="J71" s="33"/>
      <c r="K71" s="33"/>
      <c r="L71" s="33"/>
      <c r="M71" s="33"/>
      <c r="P71" s="70"/>
      <c r="R71" s="33">
        <f t="shared" si="26"/>
        <v>17</v>
      </c>
      <c r="S71" s="34"/>
      <c r="T71" s="33" t="str">
        <f t="shared" si="27"/>
        <v>created_by</v>
      </c>
      <c r="U71" s="35" t="str">
        <f t="shared" si="28"/>
        <v>登録者ID</v>
      </c>
      <c r="V71" s="33"/>
      <c r="W71" s="33" t="str">
        <f t="shared" si="29"/>
        <v>VARCHAR</v>
      </c>
      <c r="X71" s="33" t="s">
        <v>142</v>
      </c>
      <c r="Y71" s="33">
        <v>32</v>
      </c>
      <c r="Z71" s="45"/>
      <c r="AA71" s="33"/>
      <c r="AB71" s="33"/>
      <c r="AC71" s="33"/>
      <c r="AD71" s="33"/>
    </row>
    <row r="72" s="2" customFormat="1" spans="1:30">
      <c r="A72" s="33">
        <f t="shared" si="25"/>
        <v>18</v>
      </c>
      <c r="B72" s="34"/>
      <c r="C72" s="33" t="s">
        <v>166</v>
      </c>
      <c r="D72" s="35" t="s">
        <v>167</v>
      </c>
      <c r="E72" s="33"/>
      <c r="F72" s="33" t="s">
        <v>153</v>
      </c>
      <c r="G72" s="33" t="s">
        <v>142</v>
      </c>
      <c r="H72" s="33">
        <v>32</v>
      </c>
      <c r="I72" s="45"/>
      <c r="J72" s="33"/>
      <c r="K72" s="33"/>
      <c r="L72" s="33"/>
      <c r="M72" s="33" t="s">
        <v>168</v>
      </c>
      <c r="P72" s="70"/>
      <c r="R72" s="33">
        <f t="shared" si="26"/>
        <v>18</v>
      </c>
      <c r="S72" s="34"/>
      <c r="T72" s="33" t="str">
        <f t="shared" si="27"/>
        <v>created_path</v>
      </c>
      <c r="U72" s="35" t="str">
        <f t="shared" si="28"/>
        <v>登録パス</v>
      </c>
      <c r="V72" s="33"/>
      <c r="W72" s="33" t="str">
        <f t="shared" si="29"/>
        <v>TINYINT</v>
      </c>
      <c r="X72" s="33" t="s">
        <v>142</v>
      </c>
      <c r="Y72" s="33">
        <v>32</v>
      </c>
      <c r="Z72" s="45"/>
      <c r="AA72" s="33"/>
      <c r="AB72" s="33"/>
      <c r="AC72" s="33"/>
      <c r="AD72" s="33" t="s">
        <v>169</v>
      </c>
    </row>
    <row r="73" s="2" customFormat="1" spans="1:30">
      <c r="A73" s="33">
        <f t="shared" si="25"/>
        <v>19</v>
      </c>
      <c r="B73" s="34"/>
      <c r="C73" s="36" t="s">
        <v>170</v>
      </c>
      <c r="D73" s="35" t="s">
        <v>171</v>
      </c>
      <c r="E73" s="33"/>
      <c r="F73" s="33" t="s">
        <v>172</v>
      </c>
      <c r="G73" s="33" t="s">
        <v>173</v>
      </c>
      <c r="H73" s="33" t="s">
        <v>8</v>
      </c>
      <c r="I73" s="45" t="s">
        <v>22</v>
      </c>
      <c r="J73" s="33"/>
      <c r="K73" s="33"/>
      <c r="L73" s="33"/>
      <c r="M73" s="33"/>
      <c r="P73" s="70"/>
      <c r="R73" s="33">
        <f t="shared" si="26"/>
        <v>19</v>
      </c>
      <c r="S73" s="34"/>
      <c r="T73" s="33" t="str">
        <f t="shared" si="27"/>
        <v>created_dt</v>
      </c>
      <c r="U73" s="35" t="str">
        <f t="shared" si="28"/>
        <v>レコード登録日時</v>
      </c>
      <c r="V73" s="33"/>
      <c r="W73" s="33" t="str">
        <f t="shared" si="29"/>
        <v>DATETIME</v>
      </c>
      <c r="X73" s="33" t="s">
        <v>173</v>
      </c>
      <c r="Y73" s="33" t="s">
        <v>8</v>
      </c>
      <c r="Z73" s="45" t="s">
        <v>22</v>
      </c>
      <c r="AA73" s="33"/>
      <c r="AB73" s="33"/>
      <c r="AC73" s="33"/>
      <c r="AD73" s="33"/>
    </row>
    <row r="74" s="2" customFormat="1" spans="1:30">
      <c r="A74" s="33">
        <f t="shared" si="25"/>
        <v>20</v>
      </c>
      <c r="B74" s="34"/>
      <c r="C74" s="33" t="s">
        <v>174</v>
      </c>
      <c r="D74" s="35" t="s">
        <v>175</v>
      </c>
      <c r="E74" s="33"/>
      <c r="F74" s="33" t="s">
        <v>141</v>
      </c>
      <c r="G74" s="33" t="s">
        <v>142</v>
      </c>
      <c r="H74" s="33">
        <v>32</v>
      </c>
      <c r="I74" s="45"/>
      <c r="J74" s="33"/>
      <c r="K74" s="33"/>
      <c r="L74" s="33"/>
      <c r="M74" s="33"/>
      <c r="P74" s="70"/>
      <c r="R74" s="33">
        <f t="shared" si="26"/>
        <v>20</v>
      </c>
      <c r="S74" s="34"/>
      <c r="T74" s="33" t="str">
        <f t="shared" si="27"/>
        <v>updated_by</v>
      </c>
      <c r="U74" s="35" t="str">
        <f t="shared" si="28"/>
        <v>更新者ID</v>
      </c>
      <c r="V74" s="33"/>
      <c r="W74" s="33" t="str">
        <f t="shared" si="29"/>
        <v>VARCHAR</v>
      </c>
      <c r="X74" s="33" t="s">
        <v>142</v>
      </c>
      <c r="Y74" s="33">
        <v>32</v>
      </c>
      <c r="Z74" s="45"/>
      <c r="AA74" s="33"/>
      <c r="AB74" s="33"/>
      <c r="AC74" s="33"/>
      <c r="AD74" s="33"/>
    </row>
    <row r="75" s="2" customFormat="1" ht="33.75" spans="1:30">
      <c r="A75" s="33">
        <f t="shared" si="25"/>
        <v>21</v>
      </c>
      <c r="B75" s="34"/>
      <c r="C75" s="33" t="s">
        <v>176</v>
      </c>
      <c r="D75" s="35" t="s">
        <v>177</v>
      </c>
      <c r="E75" s="33" t="s">
        <v>178</v>
      </c>
      <c r="F75" s="33" t="s">
        <v>153</v>
      </c>
      <c r="G75" s="33" t="s">
        <v>142</v>
      </c>
      <c r="H75" s="33">
        <v>32</v>
      </c>
      <c r="I75" s="45"/>
      <c r="J75" s="33"/>
      <c r="K75" s="33"/>
      <c r="L75" s="33"/>
      <c r="M75" s="33" t="s">
        <v>179</v>
      </c>
      <c r="P75" s="70"/>
      <c r="R75" s="33">
        <f t="shared" si="26"/>
        <v>21</v>
      </c>
      <c r="S75" s="34"/>
      <c r="T75" s="33" t="str">
        <f t="shared" si="27"/>
        <v>updated_path</v>
      </c>
      <c r="U75" s="35" t="str">
        <f t="shared" si="28"/>
        <v>更新パス</v>
      </c>
      <c r="V75" s="33" t="s">
        <v>180</v>
      </c>
      <c r="W75" s="33" t="str">
        <f t="shared" si="29"/>
        <v>TINYINT</v>
      </c>
      <c r="X75" s="33" t="s">
        <v>142</v>
      </c>
      <c r="Y75" s="33">
        <v>32</v>
      </c>
      <c r="Z75" s="45"/>
      <c r="AA75" s="33"/>
      <c r="AB75" s="33"/>
      <c r="AC75" s="33"/>
      <c r="AD75" s="33" t="s">
        <v>181</v>
      </c>
    </row>
    <row r="76" s="2" customFormat="1" spans="1:30">
      <c r="A76" s="33">
        <f t="shared" si="25"/>
        <v>22</v>
      </c>
      <c r="B76" s="34"/>
      <c r="C76" s="36" t="s">
        <v>182</v>
      </c>
      <c r="D76" s="35" t="s">
        <v>183</v>
      </c>
      <c r="E76" s="33"/>
      <c r="F76" s="33" t="s">
        <v>172</v>
      </c>
      <c r="G76" s="33" t="s">
        <v>173</v>
      </c>
      <c r="H76" s="33" t="s">
        <v>8</v>
      </c>
      <c r="I76" s="45" t="s">
        <v>22</v>
      </c>
      <c r="J76" s="33"/>
      <c r="K76" s="33"/>
      <c r="L76" s="33"/>
      <c r="M76" s="33"/>
      <c r="P76" s="70"/>
      <c r="R76" s="33">
        <f t="shared" si="26"/>
        <v>22</v>
      </c>
      <c r="S76" s="34"/>
      <c r="T76" s="33" t="str">
        <f t="shared" si="27"/>
        <v>updated_dt</v>
      </c>
      <c r="U76" s="35" t="str">
        <f t="shared" si="28"/>
        <v>レコード更新日時</v>
      </c>
      <c r="V76" s="33"/>
      <c r="W76" s="33" t="str">
        <f t="shared" si="29"/>
        <v>DATETIME</v>
      </c>
      <c r="X76" s="33" t="s">
        <v>173</v>
      </c>
      <c r="Y76" s="33" t="s">
        <v>8</v>
      </c>
      <c r="Z76" s="45" t="s">
        <v>22</v>
      </c>
      <c r="AA76" s="33"/>
      <c r="AB76" s="33"/>
      <c r="AC76" s="33"/>
      <c r="AD76" s="33"/>
    </row>
    <row r="77" spans="15:15">
      <c r="O77" s="2"/>
    </row>
    <row r="78" spans="1:26">
      <c r="A78" s="6"/>
      <c r="B78" s="7" t="s">
        <v>15</v>
      </c>
      <c r="C78" s="8" t="s">
        <v>30</v>
      </c>
      <c r="D78" s="9"/>
      <c r="I78" s="37"/>
      <c r="O78" s="2"/>
      <c r="R78" s="6"/>
      <c r="S78" s="7" t="s">
        <v>86</v>
      </c>
      <c r="T78" s="8" t="s">
        <v>246</v>
      </c>
      <c r="U78" s="9"/>
      <c r="Z78" s="37"/>
    </row>
    <row r="79" spans="1:30">
      <c r="A79" s="10"/>
      <c r="B79" s="11" t="s">
        <v>124</v>
      </c>
      <c r="C79" s="8" t="str">
        <f>テーブル一覧!E7</f>
        <v>M_SOD_DEVICE</v>
      </c>
      <c r="D79" s="9"/>
      <c r="E79" s="3" t="s">
        <v>29</v>
      </c>
      <c r="F79" s="3"/>
      <c r="G79" s="3"/>
      <c r="H79" s="3"/>
      <c r="I79" s="37"/>
      <c r="J79" s="3"/>
      <c r="K79" s="3"/>
      <c r="L79" s="3"/>
      <c r="M79" s="38"/>
      <c r="O79" s="2"/>
      <c r="R79" s="10"/>
      <c r="S79" s="11" t="s">
        <v>125</v>
      </c>
      <c r="T79" s="8" t="str">
        <f t="shared" ref="T79:T85" si="30">C79</f>
        <v>M_SOD_DEVICE</v>
      </c>
      <c r="U79" s="9"/>
      <c r="V79" s="3" t="s">
        <v>29</v>
      </c>
      <c r="W79" s="3"/>
      <c r="X79" s="3"/>
      <c r="Y79" s="3"/>
      <c r="Z79" s="37"/>
      <c r="AA79" s="3"/>
      <c r="AB79" s="3"/>
      <c r="AC79" s="3"/>
      <c r="AD79" s="38"/>
    </row>
    <row r="80" ht="22.5" spans="1:30">
      <c r="A80" s="12" t="s">
        <v>0</v>
      </c>
      <c r="B80" s="13"/>
      <c r="C80" s="14" t="s">
        <v>126</v>
      </c>
      <c r="D80" s="15" t="s">
        <v>15</v>
      </c>
      <c r="E80" s="14" t="s">
        <v>16</v>
      </c>
      <c r="F80" s="16" t="s">
        <v>127</v>
      </c>
      <c r="G80" s="14" t="s">
        <v>127</v>
      </c>
      <c r="H80" s="14" t="s">
        <v>128</v>
      </c>
      <c r="I80" s="39" t="s">
        <v>129</v>
      </c>
      <c r="J80" s="14" t="s">
        <v>130</v>
      </c>
      <c r="K80" s="14" t="s">
        <v>131</v>
      </c>
      <c r="L80" s="14" t="s">
        <v>132</v>
      </c>
      <c r="M80" s="14" t="s">
        <v>6</v>
      </c>
      <c r="O80" s="2"/>
      <c r="R80" s="12" t="s">
        <v>0</v>
      </c>
      <c r="S80" s="13"/>
      <c r="T80" s="14" t="s">
        <v>133</v>
      </c>
      <c r="U80" s="15" t="s">
        <v>86</v>
      </c>
      <c r="V80" s="14" t="s">
        <v>87</v>
      </c>
      <c r="W80" s="16" t="s">
        <v>134</v>
      </c>
      <c r="X80" s="14" t="s">
        <v>134</v>
      </c>
      <c r="Y80" s="14" t="s">
        <v>128</v>
      </c>
      <c r="Z80" s="39" t="s">
        <v>135</v>
      </c>
      <c r="AA80" s="14" t="s">
        <v>130</v>
      </c>
      <c r="AB80" s="14" t="s">
        <v>136</v>
      </c>
      <c r="AC80" s="14" t="s">
        <v>132</v>
      </c>
      <c r="AD80" s="14" t="s">
        <v>137</v>
      </c>
    </row>
    <row r="81" s="2" customFormat="1" ht="146.25" spans="1:30">
      <c r="A81" s="31">
        <v>1</v>
      </c>
      <c r="B81" s="59"/>
      <c r="C81" s="31" t="s">
        <v>247</v>
      </c>
      <c r="D81" s="87" t="s">
        <v>248</v>
      </c>
      <c r="E81" s="226" t="s">
        <v>249</v>
      </c>
      <c r="F81" s="122" t="s">
        <v>141</v>
      </c>
      <c r="G81" s="31" t="s">
        <v>142</v>
      </c>
      <c r="H81" s="32">
        <v>32</v>
      </c>
      <c r="I81" s="43" t="s">
        <v>22</v>
      </c>
      <c r="J81" s="31"/>
      <c r="K81" s="31"/>
      <c r="L81" s="87" t="s">
        <v>188</v>
      </c>
      <c r="M81" s="31"/>
      <c r="P81" s="70"/>
      <c r="R81" s="31">
        <v>1</v>
      </c>
      <c r="S81" s="59"/>
      <c r="T81" s="31" t="str">
        <f t="shared" si="30"/>
        <v>device_id</v>
      </c>
      <c r="U81" s="87" t="str">
        <f t="shared" ref="U81:U85" si="31">D81</f>
        <v>機器種別ID</v>
      </c>
      <c r="V81" s="226" t="s">
        <v>250</v>
      </c>
      <c r="W81" s="31" t="str">
        <f t="shared" ref="W81:W85" si="32">F81</f>
        <v>VARCHAR</v>
      </c>
      <c r="X81" s="31" t="s">
        <v>142</v>
      </c>
      <c r="Y81" s="32">
        <v>32</v>
      </c>
      <c r="Z81" s="43" t="s">
        <v>22</v>
      </c>
      <c r="AA81" s="31"/>
      <c r="AB81" s="31"/>
      <c r="AC81" s="87" t="s">
        <v>188</v>
      </c>
      <c r="AD81" s="31"/>
    </row>
    <row r="82" s="2" customFormat="1" ht="22.5" spans="1:30">
      <c r="A82" s="31">
        <f t="shared" ref="A82:A102" si="33">A81+1</f>
        <v>2</v>
      </c>
      <c r="B82" s="59"/>
      <c r="C82" s="31" t="s">
        <v>251</v>
      </c>
      <c r="D82" s="87" t="s">
        <v>252</v>
      </c>
      <c r="E82" s="228" t="s">
        <v>253</v>
      </c>
      <c r="F82" s="122" t="s">
        <v>153</v>
      </c>
      <c r="G82" s="31" t="s">
        <v>254</v>
      </c>
      <c r="H82" s="32" t="s">
        <v>8</v>
      </c>
      <c r="I82" s="43" t="s">
        <v>22</v>
      </c>
      <c r="J82" s="31"/>
      <c r="K82" s="31"/>
      <c r="L82" s="87"/>
      <c r="M82" s="143" t="s">
        <v>255</v>
      </c>
      <c r="P82" s="70"/>
      <c r="R82" s="31">
        <f t="shared" ref="R82:R102" si="34">R81+1</f>
        <v>2</v>
      </c>
      <c r="S82" s="59"/>
      <c r="T82" s="31" t="str">
        <f t="shared" si="30"/>
        <v>device_type</v>
      </c>
      <c r="U82" s="87" t="str">
        <f t="shared" si="31"/>
        <v>機器タイプ</v>
      </c>
      <c r="V82" s="226" t="s">
        <v>256</v>
      </c>
      <c r="W82" s="31" t="str">
        <f t="shared" si="32"/>
        <v>TINYINT</v>
      </c>
      <c r="X82" s="31" t="s">
        <v>254</v>
      </c>
      <c r="Y82" s="32" t="s">
        <v>8</v>
      </c>
      <c r="Z82" s="43" t="s">
        <v>22</v>
      </c>
      <c r="AA82" s="31"/>
      <c r="AB82" s="31"/>
      <c r="AC82" s="87"/>
      <c r="AD82" s="31" t="s">
        <v>257</v>
      </c>
    </row>
    <row r="83" s="2" customFormat="1" ht="249" customHeight="1" spans="1:30">
      <c r="A83" s="31">
        <f t="shared" si="33"/>
        <v>3</v>
      </c>
      <c r="B83" s="59"/>
      <c r="C83" s="31" t="s">
        <v>258</v>
      </c>
      <c r="D83" s="87" t="s">
        <v>259</v>
      </c>
      <c r="E83" s="226" t="s">
        <v>260</v>
      </c>
      <c r="F83" s="122" t="s">
        <v>153</v>
      </c>
      <c r="G83" s="31" t="s">
        <v>254</v>
      </c>
      <c r="H83" s="32" t="s">
        <v>8</v>
      </c>
      <c r="I83" s="43" t="s">
        <v>22</v>
      </c>
      <c r="J83" s="31">
        <v>0</v>
      </c>
      <c r="K83" s="31"/>
      <c r="L83" s="87"/>
      <c r="M83" s="31" t="s">
        <v>261</v>
      </c>
      <c r="P83" s="70"/>
      <c r="R83" s="31">
        <f t="shared" si="34"/>
        <v>3</v>
      </c>
      <c r="S83" s="59"/>
      <c r="T83" s="31" t="str">
        <f t="shared" si="30"/>
        <v>refs</v>
      </c>
      <c r="U83" s="87" t="str">
        <f t="shared" si="31"/>
        <v>付加属性</v>
      </c>
      <c r="V83" s="31" t="s">
        <v>262</v>
      </c>
      <c r="W83" s="31" t="str">
        <f t="shared" si="32"/>
        <v>TINYINT</v>
      </c>
      <c r="X83" s="31" t="s">
        <v>254</v>
      </c>
      <c r="Y83" s="32" t="s">
        <v>8</v>
      </c>
      <c r="Z83" s="43" t="s">
        <v>22</v>
      </c>
      <c r="AA83" s="31">
        <v>0</v>
      </c>
      <c r="AB83" s="31"/>
      <c r="AC83" s="87"/>
      <c r="AD83" s="31" t="s">
        <v>263</v>
      </c>
    </row>
    <row r="84" s="2" customFormat="1" spans="1:30">
      <c r="A84" s="31">
        <f t="shared" si="33"/>
        <v>4</v>
      </c>
      <c r="B84" s="59"/>
      <c r="C84" s="31" t="s">
        <v>264</v>
      </c>
      <c r="D84" s="31" t="s">
        <v>265</v>
      </c>
      <c r="E84" s="226" t="s">
        <v>266</v>
      </c>
      <c r="F84" s="31" t="s">
        <v>267</v>
      </c>
      <c r="G84" s="31" t="s">
        <v>142</v>
      </c>
      <c r="H84" s="31" t="s">
        <v>8</v>
      </c>
      <c r="I84" s="43" t="s">
        <v>22</v>
      </c>
      <c r="J84" s="31">
        <v>1</v>
      </c>
      <c r="K84" s="31"/>
      <c r="L84" s="87"/>
      <c r="M84" s="31" t="s">
        <v>255</v>
      </c>
      <c r="P84" s="70"/>
      <c r="R84" s="31">
        <f t="shared" si="34"/>
        <v>4</v>
      </c>
      <c r="S84" s="59"/>
      <c r="T84" s="31" t="str">
        <f t="shared" si="30"/>
        <v>warehouse_id</v>
      </c>
      <c r="U84" s="87" t="str">
        <f t="shared" si="31"/>
        <v>所属倉庫ID</v>
      </c>
      <c r="V84" s="226" t="s">
        <v>266</v>
      </c>
      <c r="W84" s="31" t="str">
        <f t="shared" si="32"/>
        <v>SMALLINT</v>
      </c>
      <c r="X84" s="31" t="s">
        <v>142</v>
      </c>
      <c r="Y84" s="31" t="s">
        <v>8</v>
      </c>
      <c r="Z84" s="43" t="s">
        <v>22</v>
      </c>
      <c r="AA84" s="31">
        <v>1</v>
      </c>
      <c r="AB84" s="31"/>
      <c r="AC84" s="87"/>
      <c r="AD84" s="31" t="s">
        <v>257</v>
      </c>
    </row>
    <row r="85" s="2" customFormat="1" ht="45" spans="1:30">
      <c r="A85" s="31">
        <f t="shared" si="33"/>
        <v>5</v>
      </c>
      <c r="B85" s="59"/>
      <c r="C85" s="31" t="s">
        <v>268</v>
      </c>
      <c r="D85" s="87" t="s">
        <v>269</v>
      </c>
      <c r="E85" s="226" t="s">
        <v>270</v>
      </c>
      <c r="F85" s="31" t="s">
        <v>172</v>
      </c>
      <c r="G85" s="31" t="s">
        <v>142</v>
      </c>
      <c r="H85" s="31"/>
      <c r="I85" s="43"/>
      <c r="J85" s="226" t="s">
        <v>271</v>
      </c>
      <c r="K85" s="31"/>
      <c r="L85" s="87"/>
      <c r="M85" s="31" t="s">
        <v>272</v>
      </c>
      <c r="P85" s="70"/>
      <c r="R85" s="31">
        <f t="shared" si="34"/>
        <v>5</v>
      </c>
      <c r="S85" s="59"/>
      <c r="T85" s="31" t="str">
        <f t="shared" si="30"/>
        <v>delivery_start_time</v>
      </c>
      <c r="U85" s="87" t="str">
        <f t="shared" si="31"/>
        <v>出荷開始日時</v>
      </c>
      <c r="V85" s="31" t="s">
        <v>273</v>
      </c>
      <c r="W85" s="31" t="str">
        <f t="shared" si="32"/>
        <v>DATETIME</v>
      </c>
      <c r="X85" s="31" t="s">
        <v>142</v>
      </c>
      <c r="Y85" s="31"/>
      <c r="Z85" s="43"/>
      <c r="AA85" s="226" t="s">
        <v>271</v>
      </c>
      <c r="AB85" s="31"/>
      <c r="AC85" s="87"/>
      <c r="AD85" s="31" t="s">
        <v>274</v>
      </c>
    </row>
    <row r="86" s="2" customFormat="1" spans="1:30">
      <c r="A86" s="61">
        <f t="shared" si="33"/>
        <v>6</v>
      </c>
      <c r="B86" s="62"/>
      <c r="C86" s="61" t="s">
        <v>275</v>
      </c>
      <c r="D86" s="63" t="s">
        <v>276</v>
      </c>
      <c r="E86" s="61"/>
      <c r="F86" s="61" t="s">
        <v>267</v>
      </c>
      <c r="G86" s="61" t="s">
        <v>142</v>
      </c>
      <c r="H86" s="61" t="s">
        <v>8</v>
      </c>
      <c r="I86" s="69"/>
      <c r="J86" s="61"/>
      <c r="K86" s="61"/>
      <c r="L86" s="63"/>
      <c r="M86" s="61" t="s">
        <v>230</v>
      </c>
      <c r="P86" s="70"/>
      <c r="R86" s="61">
        <f t="shared" si="34"/>
        <v>6</v>
      </c>
      <c r="S86" s="62"/>
      <c r="T86" s="61" t="s">
        <v>275</v>
      </c>
      <c r="U86" s="63" t="s">
        <v>276</v>
      </c>
      <c r="V86" s="61"/>
      <c r="W86" s="61" t="s">
        <v>267</v>
      </c>
      <c r="X86" s="61" t="s">
        <v>142</v>
      </c>
      <c r="Y86" s="61" t="s">
        <v>8</v>
      </c>
      <c r="Z86" s="69"/>
      <c r="AA86" s="61"/>
      <c r="AB86" s="61"/>
      <c r="AC86" s="63"/>
      <c r="AD86" s="61" t="s">
        <v>231</v>
      </c>
    </row>
    <row r="87" s="2" customFormat="1" spans="1:30">
      <c r="A87" s="61">
        <f t="shared" si="33"/>
        <v>7</v>
      </c>
      <c r="B87" s="62"/>
      <c r="C87" s="61" t="s">
        <v>277</v>
      </c>
      <c r="D87" s="63" t="s">
        <v>278</v>
      </c>
      <c r="E87" s="61"/>
      <c r="F87" s="61" t="s">
        <v>141</v>
      </c>
      <c r="G87" s="61" t="s">
        <v>142</v>
      </c>
      <c r="H87" s="61">
        <v>64</v>
      </c>
      <c r="I87" s="69"/>
      <c r="J87" s="61"/>
      <c r="K87" s="61"/>
      <c r="L87" s="63"/>
      <c r="M87" s="61" t="s">
        <v>230</v>
      </c>
      <c r="P87" s="70"/>
      <c r="R87" s="61">
        <f t="shared" si="34"/>
        <v>7</v>
      </c>
      <c r="S87" s="62"/>
      <c r="T87" s="61" t="s">
        <v>277</v>
      </c>
      <c r="U87" s="63" t="s">
        <v>278</v>
      </c>
      <c r="V87" s="61"/>
      <c r="W87" s="61" t="s">
        <v>141</v>
      </c>
      <c r="X87" s="61" t="s">
        <v>142</v>
      </c>
      <c r="Y87" s="61">
        <v>64</v>
      </c>
      <c r="Z87" s="69"/>
      <c r="AA87" s="61"/>
      <c r="AB87" s="61"/>
      <c r="AC87" s="63"/>
      <c r="AD87" s="61" t="s">
        <v>231</v>
      </c>
    </row>
    <row r="88" s="2" customFormat="1" spans="1:30">
      <c r="A88" s="61">
        <f t="shared" si="33"/>
        <v>8</v>
      </c>
      <c r="B88" s="62"/>
      <c r="C88" s="61" t="s">
        <v>279</v>
      </c>
      <c r="D88" s="63" t="s">
        <v>280</v>
      </c>
      <c r="E88" s="61"/>
      <c r="F88" s="61" t="s">
        <v>141</v>
      </c>
      <c r="G88" s="61" t="s">
        <v>142</v>
      </c>
      <c r="H88" s="61">
        <v>20</v>
      </c>
      <c r="I88" s="69"/>
      <c r="J88" s="61"/>
      <c r="K88" s="61"/>
      <c r="L88" s="63"/>
      <c r="M88" s="61" t="s">
        <v>230</v>
      </c>
      <c r="P88" s="70"/>
      <c r="R88" s="61">
        <f t="shared" si="34"/>
        <v>8</v>
      </c>
      <c r="S88" s="62"/>
      <c r="T88" s="61" t="s">
        <v>279</v>
      </c>
      <c r="U88" s="63" t="s">
        <v>280</v>
      </c>
      <c r="V88" s="61"/>
      <c r="W88" s="61" t="s">
        <v>141</v>
      </c>
      <c r="X88" s="61" t="s">
        <v>142</v>
      </c>
      <c r="Y88" s="61">
        <v>20</v>
      </c>
      <c r="Z88" s="69"/>
      <c r="AA88" s="61"/>
      <c r="AB88" s="61"/>
      <c r="AC88" s="63"/>
      <c r="AD88" s="61" t="s">
        <v>231</v>
      </c>
    </row>
    <row r="89" s="2" customFormat="1" spans="1:30">
      <c r="A89" s="61">
        <f t="shared" si="33"/>
        <v>9</v>
      </c>
      <c r="B89" s="62"/>
      <c r="C89" s="61" t="s">
        <v>281</v>
      </c>
      <c r="D89" s="63" t="s">
        <v>282</v>
      </c>
      <c r="E89" s="61"/>
      <c r="F89" s="61" t="s">
        <v>141</v>
      </c>
      <c r="G89" s="61" t="s">
        <v>142</v>
      </c>
      <c r="H89" s="61">
        <v>128</v>
      </c>
      <c r="I89" s="69"/>
      <c r="J89" s="61"/>
      <c r="K89" s="61"/>
      <c r="L89" s="63"/>
      <c r="M89" s="61" t="s">
        <v>230</v>
      </c>
      <c r="P89" s="70"/>
      <c r="R89" s="61">
        <f t="shared" si="34"/>
        <v>9</v>
      </c>
      <c r="S89" s="62"/>
      <c r="T89" s="61" t="s">
        <v>281</v>
      </c>
      <c r="U89" s="63" t="s">
        <v>282</v>
      </c>
      <c r="V89" s="61"/>
      <c r="W89" s="61" t="s">
        <v>141</v>
      </c>
      <c r="X89" s="61" t="s">
        <v>142</v>
      </c>
      <c r="Y89" s="61">
        <v>128</v>
      </c>
      <c r="Z89" s="69"/>
      <c r="AA89" s="61"/>
      <c r="AB89" s="61"/>
      <c r="AC89" s="63"/>
      <c r="AD89" s="61" t="s">
        <v>231</v>
      </c>
    </row>
    <row r="90" s="2" customFormat="1" spans="1:30">
      <c r="A90" s="61">
        <f t="shared" si="33"/>
        <v>10</v>
      </c>
      <c r="B90" s="62"/>
      <c r="C90" s="61" t="s">
        <v>283</v>
      </c>
      <c r="D90" s="63" t="s">
        <v>284</v>
      </c>
      <c r="E90" s="61"/>
      <c r="F90" s="61" t="s">
        <v>285</v>
      </c>
      <c r="G90" s="61" t="s">
        <v>286</v>
      </c>
      <c r="H90" s="61" t="s">
        <v>8</v>
      </c>
      <c r="I90" s="69"/>
      <c r="J90" s="61">
        <v>0</v>
      </c>
      <c r="K90" s="61"/>
      <c r="L90" s="63"/>
      <c r="M90" s="61" t="s">
        <v>230</v>
      </c>
      <c r="P90" s="70"/>
      <c r="R90" s="61">
        <f t="shared" si="34"/>
        <v>10</v>
      </c>
      <c r="S90" s="62"/>
      <c r="T90" s="61" t="s">
        <v>283</v>
      </c>
      <c r="U90" s="63" t="s">
        <v>284</v>
      </c>
      <c r="V90" s="61"/>
      <c r="W90" s="61" t="s">
        <v>285</v>
      </c>
      <c r="X90" s="61" t="s">
        <v>286</v>
      </c>
      <c r="Y90" s="61" t="s">
        <v>8</v>
      </c>
      <c r="Z90" s="69"/>
      <c r="AA90" s="61">
        <v>0</v>
      </c>
      <c r="AB90" s="61"/>
      <c r="AC90" s="63"/>
      <c r="AD90" s="61" t="s">
        <v>231</v>
      </c>
    </row>
    <row r="91" s="2" customFormat="1" ht="22.5" spans="1:30">
      <c r="A91" s="61">
        <f t="shared" si="33"/>
        <v>11</v>
      </c>
      <c r="B91" s="62"/>
      <c r="C91" s="62" t="s">
        <v>287</v>
      </c>
      <c r="D91" s="62" t="s">
        <v>288</v>
      </c>
      <c r="E91" s="62" t="s">
        <v>289</v>
      </c>
      <c r="F91" s="61" t="s">
        <v>153</v>
      </c>
      <c r="G91" s="61" t="s">
        <v>154</v>
      </c>
      <c r="H91" s="61" t="s">
        <v>8</v>
      </c>
      <c r="I91" s="69"/>
      <c r="J91" s="229" t="s">
        <v>155</v>
      </c>
      <c r="K91" s="62"/>
      <c r="L91" s="63"/>
      <c r="M91" s="61" t="s">
        <v>230</v>
      </c>
      <c r="P91" s="70"/>
      <c r="R91" s="61">
        <f t="shared" si="34"/>
        <v>11</v>
      </c>
      <c r="S91" s="62"/>
      <c r="T91" s="62" t="s">
        <v>287</v>
      </c>
      <c r="U91" s="62" t="s">
        <v>288</v>
      </c>
      <c r="V91" s="62" t="s">
        <v>289</v>
      </c>
      <c r="W91" s="61" t="s">
        <v>153</v>
      </c>
      <c r="X91" s="61" t="s">
        <v>154</v>
      </c>
      <c r="Y91" s="61" t="s">
        <v>8</v>
      </c>
      <c r="Z91" s="69"/>
      <c r="AA91" s="229" t="s">
        <v>155</v>
      </c>
      <c r="AB91" s="62"/>
      <c r="AC91" s="63"/>
      <c r="AD91" s="61" t="s">
        <v>231</v>
      </c>
    </row>
    <row r="92" s="2" customFormat="1" ht="22.5" spans="1:30">
      <c r="A92" s="61">
        <f t="shared" si="33"/>
        <v>12</v>
      </c>
      <c r="B92" s="62"/>
      <c r="C92" s="61" t="s">
        <v>290</v>
      </c>
      <c r="D92" s="61" t="s">
        <v>291</v>
      </c>
      <c r="E92" s="61" t="s">
        <v>292</v>
      </c>
      <c r="F92" s="61" t="s">
        <v>153</v>
      </c>
      <c r="G92" s="61" t="s">
        <v>154</v>
      </c>
      <c r="H92" s="61" t="s">
        <v>8</v>
      </c>
      <c r="I92" s="69"/>
      <c r="J92" s="229" t="s">
        <v>155</v>
      </c>
      <c r="K92" s="61"/>
      <c r="L92" s="63"/>
      <c r="M92" s="61" t="s">
        <v>230</v>
      </c>
      <c r="P92" s="70"/>
      <c r="R92" s="61">
        <f t="shared" si="34"/>
        <v>12</v>
      </c>
      <c r="S92" s="62"/>
      <c r="T92" s="61" t="s">
        <v>290</v>
      </c>
      <c r="U92" s="61" t="s">
        <v>291</v>
      </c>
      <c r="V92" s="61" t="s">
        <v>292</v>
      </c>
      <c r="W92" s="61" t="s">
        <v>153</v>
      </c>
      <c r="X92" s="61" t="s">
        <v>154</v>
      </c>
      <c r="Y92" s="61" t="s">
        <v>8</v>
      </c>
      <c r="Z92" s="69"/>
      <c r="AA92" s="229" t="s">
        <v>155</v>
      </c>
      <c r="AB92" s="61"/>
      <c r="AC92" s="63"/>
      <c r="AD92" s="61" t="s">
        <v>231</v>
      </c>
    </row>
    <row r="93" s="2" customFormat="1" ht="22.5" spans="1:30">
      <c r="A93" s="61">
        <f t="shared" si="33"/>
        <v>13</v>
      </c>
      <c r="B93" s="62"/>
      <c r="C93" s="61" t="s">
        <v>293</v>
      </c>
      <c r="D93" s="61" t="s">
        <v>294</v>
      </c>
      <c r="E93" s="62" t="s">
        <v>289</v>
      </c>
      <c r="F93" s="61" t="s">
        <v>153</v>
      </c>
      <c r="G93" s="61" t="s">
        <v>154</v>
      </c>
      <c r="H93" s="61" t="s">
        <v>8</v>
      </c>
      <c r="I93" s="69"/>
      <c r="J93" s="229" t="s">
        <v>155</v>
      </c>
      <c r="K93" s="62"/>
      <c r="L93" s="63"/>
      <c r="M93" s="61" t="s">
        <v>230</v>
      </c>
      <c r="P93" s="70"/>
      <c r="R93" s="61">
        <f t="shared" si="34"/>
        <v>13</v>
      </c>
      <c r="S93" s="62"/>
      <c r="T93" s="61" t="s">
        <v>293</v>
      </c>
      <c r="U93" s="61" t="s">
        <v>294</v>
      </c>
      <c r="V93" s="62" t="s">
        <v>289</v>
      </c>
      <c r="W93" s="61" t="s">
        <v>153</v>
      </c>
      <c r="X93" s="61" t="s">
        <v>154</v>
      </c>
      <c r="Y93" s="61" t="s">
        <v>8</v>
      </c>
      <c r="Z93" s="69"/>
      <c r="AA93" s="229" t="s">
        <v>155</v>
      </c>
      <c r="AB93" s="62"/>
      <c r="AC93" s="63"/>
      <c r="AD93" s="61" t="s">
        <v>231</v>
      </c>
    </row>
    <row r="94" s="2" customFormat="1" ht="45" spans="1:30">
      <c r="A94" s="61">
        <f t="shared" si="33"/>
        <v>14</v>
      </c>
      <c r="B94" s="62"/>
      <c r="C94" s="141" t="s">
        <v>295</v>
      </c>
      <c r="D94" s="142" t="s">
        <v>296</v>
      </c>
      <c r="E94" s="141" t="s">
        <v>297</v>
      </c>
      <c r="F94" s="141" t="s">
        <v>153</v>
      </c>
      <c r="G94" s="61" t="s">
        <v>154</v>
      </c>
      <c r="H94" s="141" t="s">
        <v>8</v>
      </c>
      <c r="I94" s="144"/>
      <c r="J94" s="229" t="s">
        <v>155</v>
      </c>
      <c r="K94" s="62"/>
      <c r="L94" s="63"/>
      <c r="M94" s="61" t="s">
        <v>230</v>
      </c>
      <c r="P94" s="70"/>
      <c r="R94" s="61">
        <f t="shared" si="34"/>
        <v>14</v>
      </c>
      <c r="S94" s="62"/>
      <c r="T94" s="141" t="s">
        <v>295</v>
      </c>
      <c r="U94" s="142" t="s">
        <v>296</v>
      </c>
      <c r="V94" s="141" t="s">
        <v>297</v>
      </c>
      <c r="W94" s="141" t="s">
        <v>153</v>
      </c>
      <c r="X94" s="61" t="s">
        <v>154</v>
      </c>
      <c r="Y94" s="141" t="s">
        <v>8</v>
      </c>
      <c r="Z94" s="144"/>
      <c r="AA94" s="229" t="s">
        <v>155</v>
      </c>
      <c r="AB94" s="62"/>
      <c r="AC94" s="63"/>
      <c r="AD94" s="61" t="s">
        <v>231</v>
      </c>
    </row>
    <row r="95" s="2" customFormat="1" ht="22.5" spans="1:30">
      <c r="A95" s="33">
        <f t="shared" si="33"/>
        <v>15</v>
      </c>
      <c r="B95" s="34"/>
      <c r="C95" s="33" t="s">
        <v>150</v>
      </c>
      <c r="D95" s="35" t="s">
        <v>151</v>
      </c>
      <c r="E95" s="33" t="s">
        <v>152</v>
      </c>
      <c r="F95" s="33" t="s">
        <v>153</v>
      </c>
      <c r="G95" s="33" t="s">
        <v>154</v>
      </c>
      <c r="H95" s="33" t="s">
        <v>8</v>
      </c>
      <c r="I95" s="45" t="s">
        <v>22</v>
      </c>
      <c r="J95" s="225" t="s">
        <v>155</v>
      </c>
      <c r="K95" s="33"/>
      <c r="L95" s="33"/>
      <c r="M95" s="33" t="s">
        <v>156</v>
      </c>
      <c r="P95" s="70"/>
      <c r="R95" s="33">
        <f t="shared" si="34"/>
        <v>15</v>
      </c>
      <c r="S95" s="34"/>
      <c r="T95" s="33" t="str">
        <f t="shared" ref="T95:T102" si="35">C95</f>
        <v>delete_flg</v>
      </c>
      <c r="U95" s="35" t="str">
        <f t="shared" ref="U95:U102" si="36">D95</f>
        <v>削除フラグ</v>
      </c>
      <c r="V95" s="33" t="s">
        <v>157</v>
      </c>
      <c r="W95" s="33" t="str">
        <f t="shared" ref="W95:W102" si="37">F95</f>
        <v>TINYINT</v>
      </c>
      <c r="X95" s="33" t="s">
        <v>154</v>
      </c>
      <c r="Y95" s="33" t="s">
        <v>8</v>
      </c>
      <c r="Z95" s="45" t="s">
        <v>22</v>
      </c>
      <c r="AA95" s="225" t="s">
        <v>155</v>
      </c>
      <c r="AB95" s="33"/>
      <c r="AC95" s="33"/>
      <c r="AD95" s="33" t="s">
        <v>158</v>
      </c>
    </row>
    <row r="96" s="2" customFormat="1" ht="22.5" spans="1:30">
      <c r="A96" s="33">
        <f t="shared" si="33"/>
        <v>16</v>
      </c>
      <c r="B96" s="34"/>
      <c r="C96" s="33" t="s">
        <v>159</v>
      </c>
      <c r="D96" s="35" t="s">
        <v>160</v>
      </c>
      <c r="E96" s="33" t="s">
        <v>161</v>
      </c>
      <c r="F96" s="33" t="s">
        <v>153</v>
      </c>
      <c r="G96" s="33" t="s">
        <v>162</v>
      </c>
      <c r="H96" s="33"/>
      <c r="I96" s="45" t="s">
        <v>22</v>
      </c>
      <c r="J96" s="33">
        <v>0</v>
      </c>
      <c r="K96" s="33"/>
      <c r="L96" s="33"/>
      <c r="M96" s="33"/>
      <c r="P96" s="70"/>
      <c r="R96" s="33">
        <f t="shared" si="34"/>
        <v>16</v>
      </c>
      <c r="S96" s="34"/>
      <c r="T96" s="33" t="str">
        <f t="shared" si="35"/>
        <v>version</v>
      </c>
      <c r="U96" s="35" t="str">
        <f t="shared" si="36"/>
        <v>バージョン</v>
      </c>
      <c r="V96" s="33" t="s">
        <v>163</v>
      </c>
      <c r="W96" s="33" t="str">
        <f t="shared" si="37"/>
        <v>TINYINT</v>
      </c>
      <c r="X96" s="33" t="s">
        <v>162</v>
      </c>
      <c r="Y96" s="33"/>
      <c r="Z96" s="45" t="s">
        <v>22</v>
      </c>
      <c r="AA96" s="33">
        <v>0</v>
      </c>
      <c r="AB96" s="33"/>
      <c r="AC96" s="33"/>
      <c r="AD96" s="33"/>
    </row>
    <row r="97" s="2" customFormat="1" spans="1:30">
      <c r="A97" s="33">
        <f t="shared" si="33"/>
        <v>17</v>
      </c>
      <c r="B97" s="34"/>
      <c r="C97" s="33" t="s">
        <v>164</v>
      </c>
      <c r="D97" s="35" t="s">
        <v>165</v>
      </c>
      <c r="E97" s="33"/>
      <c r="F97" s="33" t="s">
        <v>141</v>
      </c>
      <c r="G97" s="33" t="s">
        <v>142</v>
      </c>
      <c r="H97" s="33">
        <v>32</v>
      </c>
      <c r="I97" s="45"/>
      <c r="J97" s="33"/>
      <c r="K97" s="33"/>
      <c r="L97" s="33"/>
      <c r="M97" s="33"/>
      <c r="P97" s="70"/>
      <c r="R97" s="33">
        <f t="shared" si="34"/>
        <v>17</v>
      </c>
      <c r="S97" s="34"/>
      <c r="T97" s="33" t="str">
        <f t="shared" si="35"/>
        <v>created_by</v>
      </c>
      <c r="U97" s="35" t="str">
        <f t="shared" si="36"/>
        <v>登録者ID</v>
      </c>
      <c r="V97" s="33"/>
      <c r="W97" s="33" t="str">
        <f t="shared" si="37"/>
        <v>VARCHAR</v>
      </c>
      <c r="X97" s="33" t="s">
        <v>142</v>
      </c>
      <c r="Y97" s="33">
        <v>32</v>
      </c>
      <c r="Z97" s="45"/>
      <c r="AA97" s="33"/>
      <c r="AB97" s="33"/>
      <c r="AC97" s="33"/>
      <c r="AD97" s="33"/>
    </row>
    <row r="98" s="2" customFormat="1" spans="1:30">
      <c r="A98" s="33">
        <f t="shared" si="33"/>
        <v>18</v>
      </c>
      <c r="B98" s="34"/>
      <c r="C98" s="33" t="s">
        <v>166</v>
      </c>
      <c r="D98" s="35" t="s">
        <v>167</v>
      </c>
      <c r="E98" s="33"/>
      <c r="F98" s="33" t="s">
        <v>153</v>
      </c>
      <c r="G98" s="33" t="s">
        <v>142</v>
      </c>
      <c r="H98" s="33">
        <v>32</v>
      </c>
      <c r="I98" s="45"/>
      <c r="J98" s="33"/>
      <c r="K98" s="33"/>
      <c r="L98" s="33"/>
      <c r="M98" s="33" t="s">
        <v>168</v>
      </c>
      <c r="P98" s="70"/>
      <c r="R98" s="33">
        <f t="shared" si="34"/>
        <v>18</v>
      </c>
      <c r="S98" s="34"/>
      <c r="T98" s="33" t="str">
        <f t="shared" si="35"/>
        <v>created_path</v>
      </c>
      <c r="U98" s="35" t="str">
        <f t="shared" si="36"/>
        <v>登録パス</v>
      </c>
      <c r="V98" s="33"/>
      <c r="W98" s="33" t="str">
        <f t="shared" si="37"/>
        <v>TINYINT</v>
      </c>
      <c r="X98" s="33" t="s">
        <v>142</v>
      </c>
      <c r="Y98" s="33">
        <v>32</v>
      </c>
      <c r="Z98" s="45"/>
      <c r="AA98" s="33"/>
      <c r="AB98" s="33"/>
      <c r="AC98" s="33"/>
      <c r="AD98" s="33" t="s">
        <v>169</v>
      </c>
    </row>
    <row r="99" s="2" customFormat="1" spans="1:30">
      <c r="A99" s="33">
        <f t="shared" si="33"/>
        <v>19</v>
      </c>
      <c r="B99" s="34"/>
      <c r="C99" s="36" t="s">
        <v>170</v>
      </c>
      <c r="D99" s="35" t="s">
        <v>171</v>
      </c>
      <c r="E99" s="33"/>
      <c r="F99" s="33" t="s">
        <v>172</v>
      </c>
      <c r="G99" s="33" t="s">
        <v>173</v>
      </c>
      <c r="H99" s="33" t="s">
        <v>8</v>
      </c>
      <c r="I99" s="45" t="s">
        <v>22</v>
      </c>
      <c r="J99" s="33"/>
      <c r="K99" s="33"/>
      <c r="L99" s="33"/>
      <c r="M99" s="33"/>
      <c r="P99" s="70"/>
      <c r="R99" s="33">
        <f t="shared" si="34"/>
        <v>19</v>
      </c>
      <c r="S99" s="34"/>
      <c r="T99" s="33" t="str">
        <f t="shared" si="35"/>
        <v>created_dt</v>
      </c>
      <c r="U99" s="35" t="str">
        <f t="shared" si="36"/>
        <v>レコード登録日時</v>
      </c>
      <c r="V99" s="33"/>
      <c r="W99" s="33" t="str">
        <f t="shared" si="37"/>
        <v>DATETIME</v>
      </c>
      <c r="X99" s="33" t="s">
        <v>173</v>
      </c>
      <c r="Y99" s="33" t="s">
        <v>8</v>
      </c>
      <c r="Z99" s="45" t="s">
        <v>22</v>
      </c>
      <c r="AA99" s="33"/>
      <c r="AB99" s="33"/>
      <c r="AC99" s="33"/>
      <c r="AD99" s="33"/>
    </row>
    <row r="100" s="2" customFormat="1" spans="1:30">
      <c r="A100" s="33">
        <f t="shared" si="33"/>
        <v>20</v>
      </c>
      <c r="B100" s="34"/>
      <c r="C100" s="33" t="s">
        <v>174</v>
      </c>
      <c r="D100" s="35" t="s">
        <v>175</v>
      </c>
      <c r="E100" s="33"/>
      <c r="F100" s="33" t="s">
        <v>141</v>
      </c>
      <c r="G100" s="33" t="s">
        <v>142</v>
      </c>
      <c r="H100" s="33">
        <v>32</v>
      </c>
      <c r="I100" s="45"/>
      <c r="J100" s="33"/>
      <c r="K100" s="33"/>
      <c r="L100" s="33"/>
      <c r="M100" s="33"/>
      <c r="P100" s="70"/>
      <c r="R100" s="33">
        <f t="shared" si="34"/>
        <v>20</v>
      </c>
      <c r="S100" s="34"/>
      <c r="T100" s="33" t="str">
        <f t="shared" si="35"/>
        <v>updated_by</v>
      </c>
      <c r="U100" s="35" t="str">
        <f t="shared" si="36"/>
        <v>更新者ID</v>
      </c>
      <c r="V100" s="33"/>
      <c r="W100" s="33" t="str">
        <f t="shared" si="37"/>
        <v>VARCHAR</v>
      </c>
      <c r="X100" s="33" t="s">
        <v>142</v>
      </c>
      <c r="Y100" s="33">
        <v>32</v>
      </c>
      <c r="Z100" s="45"/>
      <c r="AA100" s="33"/>
      <c r="AB100" s="33"/>
      <c r="AC100" s="33"/>
      <c r="AD100" s="33"/>
    </row>
    <row r="101" s="2" customFormat="1" ht="33.75" spans="1:30">
      <c r="A101" s="33">
        <f t="shared" si="33"/>
        <v>21</v>
      </c>
      <c r="B101" s="34"/>
      <c r="C101" s="33" t="s">
        <v>176</v>
      </c>
      <c r="D101" s="35" t="s">
        <v>177</v>
      </c>
      <c r="E101" s="33" t="s">
        <v>178</v>
      </c>
      <c r="F101" s="33" t="s">
        <v>153</v>
      </c>
      <c r="G101" s="33" t="s">
        <v>142</v>
      </c>
      <c r="H101" s="33">
        <v>32</v>
      </c>
      <c r="I101" s="45"/>
      <c r="J101" s="33"/>
      <c r="K101" s="33"/>
      <c r="L101" s="33"/>
      <c r="M101" s="33" t="s">
        <v>179</v>
      </c>
      <c r="P101" s="70"/>
      <c r="R101" s="33">
        <f t="shared" si="34"/>
        <v>21</v>
      </c>
      <c r="S101" s="34"/>
      <c r="T101" s="33" t="str">
        <f t="shared" si="35"/>
        <v>updated_path</v>
      </c>
      <c r="U101" s="35" t="str">
        <f t="shared" si="36"/>
        <v>更新パス</v>
      </c>
      <c r="V101" s="33" t="s">
        <v>180</v>
      </c>
      <c r="W101" s="33" t="str">
        <f t="shared" si="37"/>
        <v>TINYINT</v>
      </c>
      <c r="X101" s="33" t="s">
        <v>142</v>
      </c>
      <c r="Y101" s="33">
        <v>32</v>
      </c>
      <c r="Z101" s="45"/>
      <c r="AA101" s="33"/>
      <c r="AB101" s="33"/>
      <c r="AC101" s="33"/>
      <c r="AD101" s="33" t="s">
        <v>181</v>
      </c>
    </row>
    <row r="102" s="2" customFormat="1" spans="1:30">
      <c r="A102" s="33">
        <f t="shared" si="33"/>
        <v>22</v>
      </c>
      <c r="B102" s="34"/>
      <c r="C102" s="36" t="s">
        <v>182</v>
      </c>
      <c r="D102" s="35" t="s">
        <v>183</v>
      </c>
      <c r="E102" s="33"/>
      <c r="F102" s="33" t="s">
        <v>172</v>
      </c>
      <c r="G102" s="33" t="s">
        <v>173</v>
      </c>
      <c r="H102" s="33" t="s">
        <v>8</v>
      </c>
      <c r="I102" s="45" t="s">
        <v>22</v>
      </c>
      <c r="J102" s="33"/>
      <c r="K102" s="33"/>
      <c r="L102" s="33"/>
      <c r="M102" s="33"/>
      <c r="P102" s="70"/>
      <c r="R102" s="33">
        <f t="shared" si="34"/>
        <v>22</v>
      </c>
      <c r="S102" s="34"/>
      <c r="T102" s="33" t="str">
        <f t="shared" si="35"/>
        <v>updated_dt</v>
      </c>
      <c r="U102" s="35" t="str">
        <f t="shared" si="36"/>
        <v>レコード更新日時</v>
      </c>
      <c r="V102" s="33"/>
      <c r="W102" s="33" t="str">
        <f t="shared" si="37"/>
        <v>DATETIME</v>
      </c>
      <c r="X102" s="33" t="s">
        <v>173</v>
      </c>
      <c r="Y102" s="33" t="s">
        <v>8</v>
      </c>
      <c r="Z102" s="45" t="s">
        <v>22</v>
      </c>
      <c r="AA102" s="33"/>
      <c r="AB102" s="33"/>
      <c r="AC102" s="33"/>
      <c r="AD102" s="33"/>
    </row>
    <row r="103" spans="15:15">
      <c r="O103" s="2"/>
    </row>
    <row r="104" spans="15:15">
      <c r="O104" s="2"/>
    </row>
    <row r="105" spans="15:15">
      <c r="O105" s="2"/>
    </row>
    <row r="106" spans="15:15">
      <c r="O106" s="2"/>
    </row>
  </sheetData>
  <dataValidations count="2">
    <dataValidation type="list" allowBlank="1" showInputMessage="1" showErrorMessage="1" sqref="F8:F19 F24:F34 F39:F50 F55:F76 F81:F102">
      <formula1>設定!$A:$A</formula1>
    </dataValidation>
    <dataValidation type="list" allowBlank="1" showInputMessage="1" showErrorMessage="1" sqref="G8:G19 G24:G34 G39:G50 G55:G76 G81:G102">
      <formula1>設定!$B:$B</formula1>
    </dataValidation>
  </dataValidations>
  <pageMargins left="0.393700787401575" right="0.393700787401575" top="0.984251968503937" bottom="0.984251968503937" header="0.511811023622047" footer="0.511811023622047"/>
  <pageSetup paperSize="9" scale="58" fitToHeight="0" orientation="portrait"/>
  <headerFooter>
    <oddHeader>&amp;C&amp;"Arial,太字"&amp;14&amp;A&amp;R&amp;D &amp;T</oddHeader>
    <oddFooter>&amp;C&amp;P/&amp;N&amp;R&amp;F</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tabColor rgb="FFFFC000"/>
    <pageSetUpPr fitToPage="1"/>
  </sheetPr>
  <dimension ref="A1:BJ144"/>
  <sheetViews>
    <sheetView showGridLines="0" zoomScale="140" zoomScaleNormal="140" workbookViewId="0">
      <pane xSplit="2" ySplit="3" topLeftCell="N7" activePane="bottomRight" state="frozen"/>
      <selection/>
      <selection pane="topRight"/>
      <selection pane="bottomLeft"/>
      <selection pane="bottomRight" activeCell="AK12" sqref="AK12"/>
    </sheetView>
  </sheetViews>
  <sheetFormatPr defaultColWidth="9.33333333333333" defaultRowHeight="11.25"/>
  <cols>
    <col min="1" max="1" width="4.33333333333333" style="2" customWidth="1"/>
    <col min="2" max="2" width="13.3333333333333" style="3" customWidth="1"/>
    <col min="3" max="3" width="30.7777777777778" style="2" customWidth="1"/>
    <col min="4" max="4" width="30.7777777777778" style="3" customWidth="1"/>
    <col min="5" max="5" width="36.7777777777778" style="2" customWidth="1"/>
    <col min="6" max="7" width="10.7777777777778" style="2" customWidth="1"/>
    <col min="8" max="8" width="6.77777777777778" style="2" customWidth="1"/>
    <col min="9" max="9" width="5.77777777777778" style="4" customWidth="1"/>
    <col min="10" max="10" width="10.7777777777778" style="2" customWidth="1"/>
    <col min="11" max="11" width="18.7777777777778" style="2" customWidth="1"/>
    <col min="12" max="12" width="8.77777777777778" style="2" customWidth="1"/>
    <col min="13" max="13" width="22.7777777777778" style="2" customWidth="1"/>
    <col min="14" max="19" width="9.33333333333333" style="5" customWidth="1"/>
    <col min="20" max="20" width="10.4444444444444" style="5" customWidth="1"/>
    <col min="21" max="30" width="9.33333333333333" style="5" customWidth="1"/>
    <col min="31" max="31" width="2.11111111111111" style="48" customWidth="1"/>
    <col min="32" max="32" width="9.33333333333333" style="5"/>
    <col min="33" max="33" width="9.33333333333333" style="5" customWidth="1"/>
    <col min="34" max="34" width="4.33333333333333" style="2" customWidth="1"/>
    <col min="35" max="35" width="19.3333333333333" style="3" customWidth="1"/>
    <col min="36" max="36" width="30.7777777777778" style="2" customWidth="1"/>
    <col min="37" max="37" width="30.7777777777778" style="3" customWidth="1"/>
    <col min="38" max="38" width="42.3333333333333" style="2" customWidth="1"/>
    <col min="39" max="40" width="10.7777777777778" style="2" customWidth="1"/>
    <col min="41" max="41" width="6.77777777777778" style="2" customWidth="1"/>
    <col min="42" max="42" width="13.3333333333333" style="4" customWidth="1"/>
    <col min="43" max="43" width="10.7777777777778" style="2" customWidth="1"/>
    <col min="44" max="44" width="18.7777777777778" style="2" customWidth="1"/>
    <col min="45" max="45" width="8.77777777777778" style="2" customWidth="1"/>
    <col min="46" max="46" width="22.7777777777778" style="2" customWidth="1"/>
    <col min="47" max="52" width="9.33333333333333" style="5" customWidth="1"/>
    <col min="53" max="53" width="10.4444444444444" style="5" customWidth="1"/>
    <col min="54" max="63" width="9.33333333333333" style="5" customWidth="1"/>
    <col min="64" max="16384" width="9.33333333333333" style="5"/>
  </cols>
  <sheetData>
    <row r="1" s="2" customFormat="1" spans="1:42">
      <c r="A1" s="6"/>
      <c r="B1" s="7" t="s">
        <v>15</v>
      </c>
      <c r="C1" s="8"/>
      <c r="D1" s="9"/>
      <c r="I1" s="37"/>
      <c r="AE1" s="70"/>
      <c r="AH1" s="6"/>
      <c r="AI1" s="7" t="s">
        <v>86</v>
      </c>
      <c r="AJ1" s="8"/>
      <c r="AK1" s="9"/>
      <c r="AP1" s="37"/>
    </row>
    <row r="2" s="2" customFormat="1" spans="1:46">
      <c r="A2" s="10"/>
      <c r="B2" s="11" t="s">
        <v>124</v>
      </c>
      <c r="C2" s="8"/>
      <c r="D2" s="9"/>
      <c r="F2" s="3"/>
      <c r="G2" s="3"/>
      <c r="H2" s="3"/>
      <c r="I2" s="37"/>
      <c r="J2" s="3"/>
      <c r="K2" s="3"/>
      <c r="L2" s="3"/>
      <c r="M2" s="38"/>
      <c r="AE2" s="70"/>
      <c r="AH2" s="10"/>
      <c r="AI2" s="11" t="s">
        <v>125</v>
      </c>
      <c r="AJ2" s="8"/>
      <c r="AK2" s="9"/>
      <c r="AM2" s="3"/>
      <c r="AN2" s="3"/>
      <c r="AO2" s="3"/>
      <c r="AP2" s="37"/>
      <c r="AQ2" s="3"/>
      <c r="AR2" s="3"/>
      <c r="AS2" s="3"/>
      <c r="AT2" s="38"/>
    </row>
    <row r="3" s="2" customFormat="1" ht="22.5" spans="1:46">
      <c r="A3" s="12" t="s">
        <v>0</v>
      </c>
      <c r="B3" s="13"/>
      <c r="C3" s="14" t="s">
        <v>126</v>
      </c>
      <c r="D3" s="15" t="s">
        <v>15</v>
      </c>
      <c r="E3" s="14" t="s">
        <v>16</v>
      </c>
      <c r="F3" s="16" t="s">
        <v>127</v>
      </c>
      <c r="G3" s="14" t="s">
        <v>127</v>
      </c>
      <c r="H3" s="14" t="s">
        <v>128</v>
      </c>
      <c r="I3" s="39" t="s">
        <v>129</v>
      </c>
      <c r="J3" s="14" t="s">
        <v>130</v>
      </c>
      <c r="K3" s="14" t="s">
        <v>131</v>
      </c>
      <c r="L3" s="14" t="s">
        <v>132</v>
      </c>
      <c r="M3" s="14" t="s">
        <v>6</v>
      </c>
      <c r="AE3" s="70"/>
      <c r="AH3" s="12" t="s">
        <v>0</v>
      </c>
      <c r="AI3" s="13"/>
      <c r="AJ3" s="14" t="s">
        <v>133</v>
      </c>
      <c r="AK3" s="15" t="s">
        <v>86</v>
      </c>
      <c r="AL3" s="14" t="s">
        <v>87</v>
      </c>
      <c r="AM3" s="16" t="s">
        <v>134</v>
      </c>
      <c r="AN3" s="14" t="s">
        <v>134</v>
      </c>
      <c r="AO3" s="14" t="s">
        <v>128</v>
      </c>
      <c r="AP3" s="39" t="s">
        <v>135</v>
      </c>
      <c r="AQ3" s="14" t="s">
        <v>130</v>
      </c>
      <c r="AR3" s="14" t="s">
        <v>136</v>
      </c>
      <c r="AS3" s="14" t="s">
        <v>132</v>
      </c>
      <c r="AT3" s="14" t="s">
        <v>137</v>
      </c>
    </row>
    <row r="5" spans="1:42">
      <c r="A5" s="6"/>
      <c r="B5" s="7" t="s">
        <v>15</v>
      </c>
      <c r="C5" s="8" t="s">
        <v>32</v>
      </c>
      <c r="D5" s="9"/>
      <c r="I5" s="37"/>
      <c r="AH5" s="6"/>
      <c r="AI5" s="7" t="s">
        <v>86</v>
      </c>
      <c r="AJ5" s="8" t="s">
        <v>298</v>
      </c>
      <c r="AK5" s="9"/>
      <c r="AP5" s="37"/>
    </row>
    <row r="6" spans="1:46">
      <c r="A6" s="10"/>
      <c r="B6" s="11" t="s">
        <v>124</v>
      </c>
      <c r="C6" s="8" t="str">
        <f>テーブル一覧!E8</f>
        <v>T_SOD_IDENTITY_CUSTOMER</v>
      </c>
      <c r="D6" s="9"/>
      <c r="E6" s="2" t="s">
        <v>299</v>
      </c>
      <c r="F6" s="3"/>
      <c r="G6" s="3"/>
      <c r="H6" s="3"/>
      <c r="I6" s="37"/>
      <c r="J6" s="3"/>
      <c r="K6" s="3"/>
      <c r="L6" s="3"/>
      <c r="M6" s="38"/>
      <c r="AH6" s="10"/>
      <c r="AI6" s="11" t="s">
        <v>125</v>
      </c>
      <c r="AJ6" s="8" t="e">
        <f>#REF!</f>
        <v>#REF!</v>
      </c>
      <c r="AK6" s="9"/>
      <c r="AL6" s="2" t="s">
        <v>299</v>
      </c>
      <c r="AM6" s="3"/>
      <c r="AN6" s="3"/>
      <c r="AO6" s="3"/>
      <c r="AP6" s="37"/>
      <c r="AQ6" s="3"/>
      <c r="AR6" s="3"/>
      <c r="AS6" s="3"/>
      <c r="AT6" s="38"/>
    </row>
    <row r="7" ht="22.5" spans="1:46">
      <c r="A7" s="12" t="s">
        <v>0</v>
      </c>
      <c r="B7" s="13"/>
      <c r="C7" s="14" t="s">
        <v>126</v>
      </c>
      <c r="D7" s="15" t="s">
        <v>15</v>
      </c>
      <c r="E7" s="14" t="s">
        <v>16</v>
      </c>
      <c r="F7" s="16" t="s">
        <v>127</v>
      </c>
      <c r="G7" s="14" t="s">
        <v>127</v>
      </c>
      <c r="H7" s="14" t="s">
        <v>128</v>
      </c>
      <c r="I7" s="39" t="s">
        <v>129</v>
      </c>
      <c r="J7" s="14" t="s">
        <v>130</v>
      </c>
      <c r="K7" s="14" t="s">
        <v>131</v>
      </c>
      <c r="L7" s="14" t="s">
        <v>132</v>
      </c>
      <c r="M7" s="14" t="s">
        <v>6</v>
      </c>
      <c r="AH7" s="12" t="s">
        <v>0</v>
      </c>
      <c r="AI7" s="13"/>
      <c r="AJ7" s="14" t="s">
        <v>133</v>
      </c>
      <c r="AK7" s="15" t="s">
        <v>86</v>
      </c>
      <c r="AL7" s="14" t="s">
        <v>87</v>
      </c>
      <c r="AM7" s="16" t="s">
        <v>134</v>
      </c>
      <c r="AN7" s="14" t="s">
        <v>134</v>
      </c>
      <c r="AO7" s="14" t="s">
        <v>128</v>
      </c>
      <c r="AP7" s="39" t="s">
        <v>135</v>
      </c>
      <c r="AQ7" s="14" t="s">
        <v>130</v>
      </c>
      <c r="AR7" s="14" t="s">
        <v>136</v>
      </c>
      <c r="AS7" s="14" t="s">
        <v>132</v>
      </c>
      <c r="AT7" s="14" t="s">
        <v>137</v>
      </c>
    </row>
    <row r="8" s="2" customFormat="1" spans="1:46">
      <c r="A8" s="31">
        <v>1</v>
      </c>
      <c r="B8" s="59"/>
      <c r="C8" s="31" t="s">
        <v>139</v>
      </c>
      <c r="D8" s="87" t="s">
        <v>300</v>
      </c>
      <c r="E8" s="31"/>
      <c r="F8" s="122" t="s">
        <v>301</v>
      </c>
      <c r="G8" s="32" t="s">
        <v>302</v>
      </c>
      <c r="H8" s="32" t="s">
        <v>8</v>
      </c>
      <c r="I8" s="43" t="s">
        <v>22</v>
      </c>
      <c r="J8" s="31"/>
      <c r="K8" s="31" t="s">
        <v>303</v>
      </c>
      <c r="L8" s="31" t="s">
        <v>188</v>
      </c>
      <c r="M8" s="31"/>
      <c r="AE8" s="70"/>
      <c r="AH8" s="31">
        <v>1</v>
      </c>
      <c r="AI8" s="59"/>
      <c r="AJ8" s="31" t="s">
        <v>139</v>
      </c>
      <c r="AK8" s="87" t="s">
        <v>300</v>
      </c>
      <c r="AL8" s="31"/>
      <c r="AM8" s="122" t="s">
        <v>301</v>
      </c>
      <c r="AN8" s="79" t="s">
        <v>302</v>
      </c>
      <c r="AO8" s="32" t="s">
        <v>8</v>
      </c>
      <c r="AP8" s="43" t="s">
        <v>22</v>
      </c>
      <c r="AQ8" s="31"/>
      <c r="AR8" s="31" t="s">
        <v>303</v>
      </c>
      <c r="AS8" s="31" t="s">
        <v>188</v>
      </c>
      <c r="AT8" s="31"/>
    </row>
    <row r="9" s="2" customFormat="1" spans="1:46">
      <c r="A9" s="31">
        <f t="shared" ref="A9:A29" si="0">A8+1</f>
        <v>2</v>
      </c>
      <c r="B9" s="59"/>
      <c r="C9" s="31" t="s">
        <v>304</v>
      </c>
      <c r="D9" s="87" t="s">
        <v>305</v>
      </c>
      <c r="E9" s="31"/>
      <c r="F9" s="122" t="s">
        <v>301</v>
      </c>
      <c r="G9" s="31" t="s">
        <v>306</v>
      </c>
      <c r="H9" s="32" t="s">
        <v>8</v>
      </c>
      <c r="I9" s="43" t="s">
        <v>22</v>
      </c>
      <c r="J9" s="31"/>
      <c r="K9" s="31"/>
      <c r="L9" s="31"/>
      <c r="M9" s="31"/>
      <c r="AE9" s="70"/>
      <c r="AH9" s="31">
        <f t="shared" ref="AH9:AH29" si="1">AH8+1</f>
        <v>2</v>
      </c>
      <c r="AI9" s="59"/>
      <c r="AJ9" s="31" t="s">
        <v>304</v>
      </c>
      <c r="AK9" s="87" t="s">
        <v>305</v>
      </c>
      <c r="AL9" s="31"/>
      <c r="AM9" s="122" t="s">
        <v>301</v>
      </c>
      <c r="AN9" s="31" t="s">
        <v>306</v>
      </c>
      <c r="AO9" s="32" t="s">
        <v>8</v>
      </c>
      <c r="AP9" s="43" t="s">
        <v>22</v>
      </c>
      <c r="AQ9" s="31"/>
      <c r="AR9" s="31"/>
      <c r="AS9" s="31"/>
      <c r="AT9" s="31"/>
    </row>
    <row r="10" s="2" customFormat="1" spans="1:46">
      <c r="A10" s="31">
        <f t="shared" si="0"/>
        <v>3</v>
      </c>
      <c r="B10" s="59"/>
      <c r="C10" s="82" t="s">
        <v>307</v>
      </c>
      <c r="D10" s="96" t="s">
        <v>308</v>
      </c>
      <c r="E10" s="31" t="s">
        <v>309</v>
      </c>
      <c r="F10" s="122" t="s">
        <v>141</v>
      </c>
      <c r="G10" s="31" t="s">
        <v>142</v>
      </c>
      <c r="H10" s="32">
        <v>32</v>
      </c>
      <c r="I10" s="43" t="s">
        <v>22</v>
      </c>
      <c r="J10" s="31"/>
      <c r="K10" s="31"/>
      <c r="L10" s="31" t="s">
        <v>310</v>
      </c>
      <c r="M10" s="31"/>
      <c r="AE10" s="70"/>
      <c r="AH10" s="31">
        <f t="shared" si="1"/>
        <v>3</v>
      </c>
      <c r="AI10" s="59"/>
      <c r="AJ10" s="31" t="s">
        <v>307</v>
      </c>
      <c r="AK10" s="87" t="s">
        <v>308</v>
      </c>
      <c r="AL10" s="31" t="s">
        <v>311</v>
      </c>
      <c r="AM10" s="122" t="s">
        <v>141</v>
      </c>
      <c r="AN10" s="31" t="s">
        <v>142</v>
      </c>
      <c r="AO10" s="32">
        <v>32</v>
      </c>
      <c r="AP10" s="43" t="s">
        <v>22</v>
      </c>
      <c r="AQ10" s="31"/>
      <c r="AR10" s="31"/>
      <c r="AS10" s="31" t="s">
        <v>310</v>
      </c>
      <c r="AT10" s="31"/>
    </row>
    <row r="11" s="2" customFormat="1" ht="22.5" spans="1:46">
      <c r="A11" s="31">
        <f t="shared" si="0"/>
        <v>4</v>
      </c>
      <c r="B11" s="59"/>
      <c r="C11" s="31" t="s">
        <v>312</v>
      </c>
      <c r="D11" s="87" t="s">
        <v>313</v>
      </c>
      <c r="E11" s="123" t="s">
        <v>314</v>
      </c>
      <c r="F11" s="122" t="s">
        <v>141</v>
      </c>
      <c r="G11" s="31" t="s">
        <v>142</v>
      </c>
      <c r="H11" s="31">
        <v>6</v>
      </c>
      <c r="I11" s="43" t="s">
        <v>22</v>
      </c>
      <c r="J11" s="31"/>
      <c r="K11" s="31"/>
      <c r="L11" s="31" t="s">
        <v>315</v>
      </c>
      <c r="M11" s="31"/>
      <c r="AE11" s="70"/>
      <c r="AH11" s="31">
        <f t="shared" si="1"/>
        <v>4</v>
      </c>
      <c r="AI11" s="59"/>
      <c r="AJ11" s="31" t="s">
        <v>312</v>
      </c>
      <c r="AK11" s="87" t="s">
        <v>313</v>
      </c>
      <c r="AL11" s="135" t="s">
        <v>316</v>
      </c>
      <c r="AM11" s="122" t="s">
        <v>141</v>
      </c>
      <c r="AN11" s="31" t="s">
        <v>142</v>
      </c>
      <c r="AO11" s="31">
        <v>6</v>
      </c>
      <c r="AP11" s="43" t="s">
        <v>22</v>
      </c>
      <c r="AQ11" s="31"/>
      <c r="AR11" s="31"/>
      <c r="AS11" s="31" t="s">
        <v>315</v>
      </c>
      <c r="AT11" s="31"/>
    </row>
    <row r="12" s="2" customFormat="1" spans="1:46">
      <c r="A12" s="31">
        <f t="shared" si="0"/>
        <v>5</v>
      </c>
      <c r="B12" s="59"/>
      <c r="C12" s="31" t="s">
        <v>317</v>
      </c>
      <c r="D12" s="87" t="s">
        <v>318</v>
      </c>
      <c r="E12" s="31"/>
      <c r="F12" s="31" t="s">
        <v>141</v>
      </c>
      <c r="G12" s="31" t="s">
        <v>142</v>
      </c>
      <c r="H12" s="31">
        <v>30</v>
      </c>
      <c r="I12" s="43"/>
      <c r="J12" s="31"/>
      <c r="K12" s="31"/>
      <c r="L12" s="31"/>
      <c r="M12" s="31"/>
      <c r="AE12" s="70"/>
      <c r="AH12" s="31">
        <f t="shared" si="1"/>
        <v>5</v>
      </c>
      <c r="AI12" s="59"/>
      <c r="AJ12" s="31" t="s">
        <v>317</v>
      </c>
      <c r="AK12" s="87" t="s">
        <v>318</v>
      </c>
      <c r="AL12" s="31"/>
      <c r="AM12" s="31" t="s">
        <v>141</v>
      </c>
      <c r="AN12" s="31" t="s">
        <v>142</v>
      </c>
      <c r="AO12" s="31">
        <v>30</v>
      </c>
      <c r="AP12" s="43"/>
      <c r="AQ12" s="31"/>
      <c r="AR12" s="31"/>
      <c r="AS12" s="31"/>
      <c r="AT12" s="31"/>
    </row>
    <row r="13" s="2" customFormat="1" spans="1:46">
      <c r="A13" s="31">
        <f t="shared" si="0"/>
        <v>6</v>
      </c>
      <c r="B13" s="59"/>
      <c r="C13" s="31" t="s">
        <v>319</v>
      </c>
      <c r="D13" s="87" t="s">
        <v>320</v>
      </c>
      <c r="E13" s="31"/>
      <c r="F13" s="31" t="s">
        <v>141</v>
      </c>
      <c r="G13" s="31" t="s">
        <v>142</v>
      </c>
      <c r="H13" s="31">
        <v>15</v>
      </c>
      <c r="I13" s="43"/>
      <c r="J13" s="31"/>
      <c r="K13" s="31"/>
      <c r="L13" s="31"/>
      <c r="M13" s="31"/>
      <c r="AE13" s="70"/>
      <c r="AH13" s="31">
        <f t="shared" si="1"/>
        <v>6</v>
      </c>
      <c r="AI13" s="59"/>
      <c r="AJ13" s="31" t="s">
        <v>319</v>
      </c>
      <c r="AK13" s="87" t="s">
        <v>320</v>
      </c>
      <c r="AL13" s="31"/>
      <c r="AM13" s="31" t="s">
        <v>141</v>
      </c>
      <c r="AN13" s="31" t="s">
        <v>142</v>
      </c>
      <c r="AO13" s="31">
        <v>15</v>
      </c>
      <c r="AP13" s="43"/>
      <c r="AQ13" s="31"/>
      <c r="AR13" s="31"/>
      <c r="AS13" s="31"/>
      <c r="AT13" s="31"/>
    </row>
    <row r="14" s="2" customFormat="1" spans="1:46">
      <c r="A14" s="31">
        <f t="shared" si="0"/>
        <v>7</v>
      </c>
      <c r="B14" s="59"/>
      <c r="C14" s="31" t="s">
        <v>321</v>
      </c>
      <c r="D14" s="87" t="s">
        <v>322</v>
      </c>
      <c r="E14" s="31"/>
      <c r="F14" s="31" t="s">
        <v>141</v>
      </c>
      <c r="G14" s="31" t="s">
        <v>142</v>
      </c>
      <c r="H14" s="31">
        <v>30</v>
      </c>
      <c r="I14" s="43"/>
      <c r="J14" s="31"/>
      <c r="K14" s="31"/>
      <c r="L14" s="31"/>
      <c r="M14" s="31"/>
      <c r="AE14" s="70"/>
      <c r="AH14" s="31">
        <f t="shared" si="1"/>
        <v>7</v>
      </c>
      <c r="AI14" s="59"/>
      <c r="AJ14" s="31" t="s">
        <v>321</v>
      </c>
      <c r="AK14" s="87" t="s">
        <v>322</v>
      </c>
      <c r="AL14" s="31"/>
      <c r="AM14" s="31" t="s">
        <v>141</v>
      </c>
      <c r="AN14" s="31" t="s">
        <v>142</v>
      </c>
      <c r="AO14" s="31">
        <v>30</v>
      </c>
      <c r="AP14" s="43"/>
      <c r="AQ14" s="31"/>
      <c r="AR14" s="31"/>
      <c r="AS14" s="31"/>
      <c r="AT14" s="31"/>
    </row>
    <row r="15" s="2" customFormat="1" spans="1:46">
      <c r="A15" s="31">
        <f t="shared" si="0"/>
        <v>8</v>
      </c>
      <c r="B15" s="59"/>
      <c r="C15" s="31" t="s">
        <v>323</v>
      </c>
      <c r="D15" s="87" t="s">
        <v>324</v>
      </c>
      <c r="E15" s="31"/>
      <c r="F15" s="31" t="s">
        <v>141</v>
      </c>
      <c r="G15" s="31" t="s">
        <v>142</v>
      </c>
      <c r="H15" s="31">
        <v>15</v>
      </c>
      <c r="I15" s="43"/>
      <c r="J15" s="31"/>
      <c r="K15" s="31"/>
      <c r="L15" s="31"/>
      <c r="M15" s="31"/>
      <c r="AE15" s="70"/>
      <c r="AH15" s="31">
        <f t="shared" si="1"/>
        <v>8</v>
      </c>
      <c r="AI15" s="59"/>
      <c r="AJ15" s="31" t="s">
        <v>323</v>
      </c>
      <c r="AK15" s="87" t="s">
        <v>324</v>
      </c>
      <c r="AL15" s="31"/>
      <c r="AM15" s="31" t="s">
        <v>141</v>
      </c>
      <c r="AN15" s="31" t="s">
        <v>142</v>
      </c>
      <c r="AO15" s="31">
        <v>15</v>
      </c>
      <c r="AP15" s="43"/>
      <c r="AQ15" s="31"/>
      <c r="AR15" s="31"/>
      <c r="AS15" s="31"/>
      <c r="AT15" s="31"/>
    </row>
    <row r="16" s="2" customFormat="1" spans="1:46">
      <c r="A16" s="31">
        <f t="shared" si="0"/>
        <v>9</v>
      </c>
      <c r="B16" s="59"/>
      <c r="C16" s="31" t="s">
        <v>325</v>
      </c>
      <c r="D16" s="87" t="s">
        <v>326</v>
      </c>
      <c r="E16" s="31" t="s">
        <v>327</v>
      </c>
      <c r="F16" s="31" t="s">
        <v>141</v>
      </c>
      <c r="G16" s="31" t="s">
        <v>142</v>
      </c>
      <c r="H16" s="31">
        <v>10</v>
      </c>
      <c r="I16" s="43"/>
      <c r="J16" s="31"/>
      <c r="K16" s="31"/>
      <c r="L16" s="31"/>
      <c r="M16" s="31"/>
      <c r="AE16" s="70"/>
      <c r="AH16" s="31">
        <f t="shared" si="1"/>
        <v>9</v>
      </c>
      <c r="AI16" s="59"/>
      <c r="AJ16" s="31" t="s">
        <v>325</v>
      </c>
      <c r="AK16" s="87" t="s">
        <v>326</v>
      </c>
      <c r="AL16" s="31" t="s">
        <v>327</v>
      </c>
      <c r="AM16" s="31" t="s">
        <v>141</v>
      </c>
      <c r="AN16" s="31" t="s">
        <v>142</v>
      </c>
      <c r="AO16" s="31">
        <v>10</v>
      </c>
      <c r="AP16" s="43"/>
      <c r="AQ16" s="31"/>
      <c r="AR16" s="31"/>
      <c r="AS16" s="31"/>
      <c r="AT16" s="31"/>
    </row>
    <row r="17" s="2" customFormat="1" spans="1:46">
      <c r="A17" s="31">
        <f t="shared" si="0"/>
        <v>10</v>
      </c>
      <c r="B17" s="59"/>
      <c r="C17" s="31" t="s">
        <v>328</v>
      </c>
      <c r="D17" s="87" t="s">
        <v>329</v>
      </c>
      <c r="E17" s="31" t="s">
        <v>330</v>
      </c>
      <c r="F17" s="31" t="s">
        <v>141</v>
      </c>
      <c r="G17" s="31" t="s">
        <v>142</v>
      </c>
      <c r="H17" s="31">
        <v>7</v>
      </c>
      <c r="I17" s="43"/>
      <c r="J17" s="31"/>
      <c r="K17" s="31"/>
      <c r="L17" s="31"/>
      <c r="M17" s="31"/>
      <c r="AE17" s="70"/>
      <c r="AH17" s="31">
        <f t="shared" si="1"/>
        <v>10</v>
      </c>
      <c r="AI17" s="59"/>
      <c r="AJ17" s="31" t="s">
        <v>328</v>
      </c>
      <c r="AK17" s="87" t="s">
        <v>329</v>
      </c>
      <c r="AL17" s="31" t="s">
        <v>331</v>
      </c>
      <c r="AM17" s="31" t="s">
        <v>141</v>
      </c>
      <c r="AN17" s="31" t="s">
        <v>142</v>
      </c>
      <c r="AO17" s="31">
        <v>7</v>
      </c>
      <c r="AP17" s="43"/>
      <c r="AQ17" s="31"/>
      <c r="AR17" s="31"/>
      <c r="AS17" s="31"/>
      <c r="AT17" s="31"/>
    </row>
    <row r="18" s="2" customFormat="1" ht="22.5" spans="1:46">
      <c r="A18" s="31">
        <f t="shared" si="0"/>
        <v>11</v>
      </c>
      <c r="B18" s="59"/>
      <c r="C18" s="31" t="s">
        <v>332</v>
      </c>
      <c r="D18" s="87" t="s">
        <v>333</v>
      </c>
      <c r="E18" s="31" t="s">
        <v>334</v>
      </c>
      <c r="F18" s="31" t="s">
        <v>141</v>
      </c>
      <c r="G18" s="31" t="s">
        <v>142</v>
      </c>
      <c r="H18" s="31">
        <v>100</v>
      </c>
      <c r="I18" s="43"/>
      <c r="J18" s="31"/>
      <c r="K18" s="31"/>
      <c r="L18" s="31"/>
      <c r="M18" s="31"/>
      <c r="AE18" s="70"/>
      <c r="AH18" s="31">
        <f t="shared" si="1"/>
        <v>11</v>
      </c>
      <c r="AI18" s="59"/>
      <c r="AJ18" s="31" t="s">
        <v>332</v>
      </c>
      <c r="AK18" s="87" t="s">
        <v>333</v>
      </c>
      <c r="AL18" s="31" t="s">
        <v>335</v>
      </c>
      <c r="AM18" s="31" t="s">
        <v>141</v>
      </c>
      <c r="AN18" s="31" t="s">
        <v>142</v>
      </c>
      <c r="AO18" s="31">
        <v>100</v>
      </c>
      <c r="AP18" s="43"/>
      <c r="AQ18" s="31"/>
      <c r="AR18" s="31"/>
      <c r="AS18" s="31"/>
      <c r="AT18" s="31"/>
    </row>
    <row r="19" s="2" customFormat="1" spans="1:46">
      <c r="A19" s="31">
        <f t="shared" si="0"/>
        <v>12</v>
      </c>
      <c r="B19" s="59"/>
      <c r="C19" s="31" t="s">
        <v>336</v>
      </c>
      <c r="D19" s="87" t="s">
        <v>337</v>
      </c>
      <c r="E19" s="31" t="s">
        <v>338</v>
      </c>
      <c r="F19" s="31" t="s">
        <v>141</v>
      </c>
      <c r="G19" s="31" t="s">
        <v>142</v>
      </c>
      <c r="H19" s="31">
        <v>50</v>
      </c>
      <c r="I19" s="43"/>
      <c r="J19" s="31"/>
      <c r="K19" s="31"/>
      <c r="L19" s="31"/>
      <c r="M19" s="31"/>
      <c r="AE19" s="70"/>
      <c r="AH19" s="31">
        <f t="shared" si="1"/>
        <v>12</v>
      </c>
      <c r="AI19" s="59"/>
      <c r="AJ19" s="31" t="s">
        <v>336</v>
      </c>
      <c r="AK19" s="87" t="s">
        <v>337</v>
      </c>
      <c r="AL19" s="31" t="s">
        <v>339</v>
      </c>
      <c r="AM19" s="31" t="s">
        <v>141</v>
      </c>
      <c r="AN19" s="31" t="s">
        <v>142</v>
      </c>
      <c r="AO19" s="31">
        <v>50</v>
      </c>
      <c r="AP19" s="43"/>
      <c r="AQ19" s="31"/>
      <c r="AR19" s="31"/>
      <c r="AS19" s="31"/>
      <c r="AT19" s="31"/>
    </row>
    <row r="20" s="2" customFormat="1" ht="22.5" spans="1:46">
      <c r="A20" s="31">
        <f t="shared" si="0"/>
        <v>13</v>
      </c>
      <c r="B20" s="59"/>
      <c r="C20" s="31" t="s">
        <v>340</v>
      </c>
      <c r="D20" s="87" t="s">
        <v>341</v>
      </c>
      <c r="E20" s="31" t="s">
        <v>342</v>
      </c>
      <c r="F20" s="31" t="s">
        <v>141</v>
      </c>
      <c r="G20" s="31" t="s">
        <v>142</v>
      </c>
      <c r="H20" s="31">
        <v>1</v>
      </c>
      <c r="I20" s="43"/>
      <c r="J20" s="31"/>
      <c r="K20" s="31"/>
      <c r="L20" s="31"/>
      <c r="M20" s="31"/>
      <c r="AE20" s="70"/>
      <c r="AH20" s="31">
        <f t="shared" si="1"/>
        <v>13</v>
      </c>
      <c r="AI20" s="59"/>
      <c r="AJ20" s="31" t="s">
        <v>340</v>
      </c>
      <c r="AK20" s="87" t="s">
        <v>341</v>
      </c>
      <c r="AL20" s="31" t="s">
        <v>343</v>
      </c>
      <c r="AM20" s="31" t="s">
        <v>141</v>
      </c>
      <c r="AN20" s="31" t="s">
        <v>142</v>
      </c>
      <c r="AO20" s="31">
        <v>1</v>
      </c>
      <c r="AP20" s="43"/>
      <c r="AQ20" s="31"/>
      <c r="AR20" s="31"/>
      <c r="AS20" s="31"/>
      <c r="AT20" s="31"/>
    </row>
    <row r="21" s="2" customFormat="1" ht="56.25" spans="1:46">
      <c r="A21" s="31">
        <f t="shared" si="0"/>
        <v>14</v>
      </c>
      <c r="B21" s="59"/>
      <c r="C21" s="31" t="s">
        <v>344</v>
      </c>
      <c r="D21" s="87" t="s">
        <v>345</v>
      </c>
      <c r="E21" s="31" t="s">
        <v>346</v>
      </c>
      <c r="F21" s="122" t="s">
        <v>153</v>
      </c>
      <c r="G21" s="31" t="s">
        <v>254</v>
      </c>
      <c r="H21" s="122" t="s">
        <v>8</v>
      </c>
      <c r="I21" s="43"/>
      <c r="J21" s="31">
        <v>0</v>
      </c>
      <c r="K21" s="31"/>
      <c r="L21" s="31" t="s">
        <v>347</v>
      </c>
      <c r="M21" s="31"/>
      <c r="AE21" s="70"/>
      <c r="AH21" s="31">
        <f t="shared" si="1"/>
        <v>14</v>
      </c>
      <c r="AI21" s="59"/>
      <c r="AJ21" s="31" t="s">
        <v>344</v>
      </c>
      <c r="AK21" s="87" t="s">
        <v>345</v>
      </c>
      <c r="AL21" s="31" t="s">
        <v>348</v>
      </c>
      <c r="AM21" s="122" t="s">
        <v>153</v>
      </c>
      <c r="AN21" s="31" t="s">
        <v>254</v>
      </c>
      <c r="AO21" s="122" t="s">
        <v>8</v>
      </c>
      <c r="AP21" s="43"/>
      <c r="AQ21" s="31">
        <v>0</v>
      </c>
      <c r="AR21" s="31"/>
      <c r="AS21" s="31" t="s">
        <v>347</v>
      </c>
      <c r="AT21" s="31"/>
    </row>
    <row r="22" s="2" customFormat="1" ht="22.5" spans="1:46">
      <c r="A22" s="33">
        <f t="shared" si="0"/>
        <v>15</v>
      </c>
      <c r="B22" s="34"/>
      <c r="C22" s="33" t="s">
        <v>150</v>
      </c>
      <c r="D22" s="35" t="s">
        <v>151</v>
      </c>
      <c r="E22" s="33" t="s">
        <v>152</v>
      </c>
      <c r="F22" s="33" t="s">
        <v>153</v>
      </c>
      <c r="G22" s="33" t="s">
        <v>154</v>
      </c>
      <c r="H22" s="33" t="s">
        <v>8</v>
      </c>
      <c r="I22" s="45" t="s">
        <v>22</v>
      </c>
      <c r="J22" s="225" t="s">
        <v>155</v>
      </c>
      <c r="K22" s="33"/>
      <c r="L22" s="33"/>
      <c r="M22" s="33" t="s">
        <v>156</v>
      </c>
      <c r="AE22" s="70"/>
      <c r="AH22" s="33">
        <f t="shared" si="1"/>
        <v>15</v>
      </c>
      <c r="AI22" s="34"/>
      <c r="AJ22" s="33" t="s">
        <v>150</v>
      </c>
      <c r="AK22" s="35" t="s">
        <v>151</v>
      </c>
      <c r="AL22" s="33" t="s">
        <v>157</v>
      </c>
      <c r="AM22" s="33" t="s">
        <v>153</v>
      </c>
      <c r="AN22" s="33" t="s">
        <v>154</v>
      </c>
      <c r="AO22" s="33" t="s">
        <v>8</v>
      </c>
      <c r="AP22" s="45" t="s">
        <v>22</v>
      </c>
      <c r="AQ22" s="225" t="s">
        <v>155</v>
      </c>
      <c r="AR22" s="33"/>
      <c r="AS22" s="33"/>
      <c r="AT22" s="33" t="s">
        <v>349</v>
      </c>
    </row>
    <row r="23" s="2" customFormat="1" ht="22.5" spans="1:46">
      <c r="A23" s="33">
        <f t="shared" si="0"/>
        <v>16</v>
      </c>
      <c r="B23" s="34"/>
      <c r="C23" s="33" t="s">
        <v>159</v>
      </c>
      <c r="D23" s="35" t="s">
        <v>160</v>
      </c>
      <c r="E23" s="33" t="s">
        <v>161</v>
      </c>
      <c r="F23" s="33" t="s">
        <v>153</v>
      </c>
      <c r="G23" s="33" t="s">
        <v>162</v>
      </c>
      <c r="H23" s="33"/>
      <c r="I23" s="45" t="s">
        <v>22</v>
      </c>
      <c r="J23" s="33">
        <v>0</v>
      </c>
      <c r="K23" s="33"/>
      <c r="L23" s="33"/>
      <c r="M23" s="33"/>
      <c r="AE23" s="70"/>
      <c r="AH23" s="33">
        <f t="shared" si="1"/>
        <v>16</v>
      </c>
      <c r="AI23" s="34"/>
      <c r="AJ23" s="33" t="s">
        <v>159</v>
      </c>
      <c r="AK23" s="35" t="s">
        <v>160</v>
      </c>
      <c r="AL23" s="33" t="s">
        <v>163</v>
      </c>
      <c r="AM23" s="33" t="s">
        <v>153</v>
      </c>
      <c r="AN23" s="33" t="s">
        <v>162</v>
      </c>
      <c r="AO23" s="33"/>
      <c r="AP23" s="45" t="s">
        <v>22</v>
      </c>
      <c r="AQ23" s="33">
        <v>0</v>
      </c>
      <c r="AR23" s="33"/>
      <c r="AS23" s="33"/>
      <c r="AT23" s="33"/>
    </row>
    <row r="24" s="2" customFormat="1" spans="1:46">
      <c r="A24" s="33">
        <f t="shared" si="0"/>
        <v>17</v>
      </c>
      <c r="B24" s="34"/>
      <c r="C24" s="33" t="s">
        <v>164</v>
      </c>
      <c r="D24" s="35" t="s">
        <v>165</v>
      </c>
      <c r="E24" s="33"/>
      <c r="F24" s="33" t="s">
        <v>141</v>
      </c>
      <c r="G24" s="33" t="s">
        <v>142</v>
      </c>
      <c r="H24" s="33">
        <v>32</v>
      </c>
      <c r="I24" s="45"/>
      <c r="J24" s="33"/>
      <c r="K24" s="33"/>
      <c r="L24" s="33"/>
      <c r="M24" s="33"/>
      <c r="AE24" s="70"/>
      <c r="AH24" s="33">
        <f t="shared" si="1"/>
        <v>17</v>
      </c>
      <c r="AI24" s="34"/>
      <c r="AJ24" s="33" t="s">
        <v>164</v>
      </c>
      <c r="AK24" s="35" t="s">
        <v>165</v>
      </c>
      <c r="AL24" s="33"/>
      <c r="AM24" s="33" t="s">
        <v>141</v>
      </c>
      <c r="AN24" s="33" t="s">
        <v>142</v>
      </c>
      <c r="AO24" s="33">
        <v>32</v>
      </c>
      <c r="AP24" s="45"/>
      <c r="AQ24" s="33"/>
      <c r="AR24" s="33"/>
      <c r="AS24" s="33"/>
      <c r="AT24" s="33"/>
    </row>
    <row r="25" s="2" customFormat="1" spans="1:46">
      <c r="A25" s="33">
        <f t="shared" si="0"/>
        <v>18</v>
      </c>
      <c r="B25" s="34"/>
      <c r="C25" s="33" t="s">
        <v>166</v>
      </c>
      <c r="D25" s="35" t="s">
        <v>167</v>
      </c>
      <c r="E25" s="33"/>
      <c r="F25" s="33" t="s">
        <v>153</v>
      </c>
      <c r="G25" s="33" t="s">
        <v>142</v>
      </c>
      <c r="H25" s="33">
        <v>32</v>
      </c>
      <c r="I25" s="45"/>
      <c r="J25" s="33"/>
      <c r="K25" s="33"/>
      <c r="L25" s="33"/>
      <c r="M25" s="33" t="s">
        <v>168</v>
      </c>
      <c r="AE25" s="70"/>
      <c r="AH25" s="33">
        <f t="shared" si="1"/>
        <v>18</v>
      </c>
      <c r="AI25" s="34"/>
      <c r="AJ25" s="33" t="s">
        <v>166</v>
      </c>
      <c r="AK25" s="35" t="s">
        <v>167</v>
      </c>
      <c r="AL25" s="33"/>
      <c r="AM25" s="33" t="s">
        <v>153</v>
      </c>
      <c r="AN25" s="33" t="s">
        <v>142</v>
      </c>
      <c r="AO25" s="33">
        <v>32</v>
      </c>
      <c r="AP25" s="45"/>
      <c r="AQ25" s="33"/>
      <c r="AR25" s="33"/>
      <c r="AS25" s="33"/>
      <c r="AT25" s="33" t="s">
        <v>350</v>
      </c>
    </row>
    <row r="26" s="2" customFormat="1" spans="1:46">
      <c r="A26" s="33">
        <f t="shared" si="0"/>
        <v>19</v>
      </c>
      <c r="B26" s="34"/>
      <c r="C26" s="36" t="s">
        <v>170</v>
      </c>
      <c r="D26" s="35" t="s">
        <v>171</v>
      </c>
      <c r="E26" s="33"/>
      <c r="F26" s="33" t="s">
        <v>172</v>
      </c>
      <c r="G26" s="33" t="s">
        <v>173</v>
      </c>
      <c r="H26" s="33" t="s">
        <v>8</v>
      </c>
      <c r="I26" s="45" t="s">
        <v>22</v>
      </c>
      <c r="J26" s="33"/>
      <c r="K26" s="33"/>
      <c r="L26" s="33"/>
      <c r="M26" s="33"/>
      <c r="AE26" s="70"/>
      <c r="AH26" s="33">
        <f t="shared" si="1"/>
        <v>19</v>
      </c>
      <c r="AI26" s="34"/>
      <c r="AJ26" s="33" t="s">
        <v>351</v>
      </c>
      <c r="AK26" s="35" t="s">
        <v>171</v>
      </c>
      <c r="AL26" s="33"/>
      <c r="AM26" s="33" t="s">
        <v>172</v>
      </c>
      <c r="AN26" s="33" t="s">
        <v>173</v>
      </c>
      <c r="AO26" s="33" t="s">
        <v>8</v>
      </c>
      <c r="AP26" s="45" t="s">
        <v>22</v>
      </c>
      <c r="AQ26" s="33"/>
      <c r="AR26" s="33"/>
      <c r="AS26" s="33"/>
      <c r="AT26" s="33"/>
    </row>
    <row r="27" s="2" customFormat="1" spans="1:46">
      <c r="A27" s="33">
        <f t="shared" si="0"/>
        <v>20</v>
      </c>
      <c r="B27" s="34"/>
      <c r="C27" s="33" t="s">
        <v>174</v>
      </c>
      <c r="D27" s="35" t="s">
        <v>175</v>
      </c>
      <c r="E27" s="33"/>
      <c r="F27" s="33" t="s">
        <v>141</v>
      </c>
      <c r="G27" s="33" t="s">
        <v>142</v>
      </c>
      <c r="H27" s="33">
        <v>32</v>
      </c>
      <c r="I27" s="45"/>
      <c r="J27" s="33"/>
      <c r="K27" s="33"/>
      <c r="L27" s="33"/>
      <c r="M27" s="33"/>
      <c r="AE27" s="70"/>
      <c r="AH27" s="33">
        <f t="shared" si="1"/>
        <v>20</v>
      </c>
      <c r="AI27" s="34"/>
      <c r="AJ27" s="33" t="s">
        <v>174</v>
      </c>
      <c r="AK27" s="35" t="s">
        <v>175</v>
      </c>
      <c r="AL27" s="33"/>
      <c r="AM27" s="33" t="s">
        <v>141</v>
      </c>
      <c r="AN27" s="33" t="s">
        <v>142</v>
      </c>
      <c r="AO27" s="33">
        <v>32</v>
      </c>
      <c r="AP27" s="45"/>
      <c r="AQ27" s="33"/>
      <c r="AR27" s="33"/>
      <c r="AS27" s="33"/>
      <c r="AT27" s="33"/>
    </row>
    <row r="28" s="2" customFormat="1" ht="22.5" spans="1:46">
      <c r="A28" s="33">
        <f t="shared" si="0"/>
        <v>21</v>
      </c>
      <c r="B28" s="34"/>
      <c r="C28" s="33" t="s">
        <v>176</v>
      </c>
      <c r="D28" s="35" t="s">
        <v>177</v>
      </c>
      <c r="E28" s="33" t="s">
        <v>178</v>
      </c>
      <c r="F28" s="33" t="s">
        <v>153</v>
      </c>
      <c r="G28" s="33" t="s">
        <v>142</v>
      </c>
      <c r="H28" s="33">
        <v>32</v>
      </c>
      <c r="I28" s="45"/>
      <c r="J28" s="33"/>
      <c r="K28" s="33"/>
      <c r="L28" s="33"/>
      <c r="M28" s="33" t="s">
        <v>179</v>
      </c>
      <c r="AE28" s="70"/>
      <c r="AH28" s="33">
        <f t="shared" si="1"/>
        <v>21</v>
      </c>
      <c r="AI28" s="34"/>
      <c r="AJ28" s="33" t="s">
        <v>176</v>
      </c>
      <c r="AK28" s="35" t="s">
        <v>177</v>
      </c>
      <c r="AL28" s="33" t="s">
        <v>180</v>
      </c>
      <c r="AM28" s="33" t="s">
        <v>153</v>
      </c>
      <c r="AN28" s="33" t="s">
        <v>142</v>
      </c>
      <c r="AO28" s="33">
        <v>32</v>
      </c>
      <c r="AP28" s="45"/>
      <c r="AQ28" s="33"/>
      <c r="AR28" s="33"/>
      <c r="AS28" s="33"/>
      <c r="AT28" s="33" t="s">
        <v>352</v>
      </c>
    </row>
    <row r="29" s="2" customFormat="1" spans="1:46">
      <c r="A29" s="33">
        <f t="shared" si="0"/>
        <v>22</v>
      </c>
      <c r="B29" s="34"/>
      <c r="C29" s="36" t="s">
        <v>182</v>
      </c>
      <c r="D29" s="35" t="s">
        <v>183</v>
      </c>
      <c r="E29" s="33"/>
      <c r="F29" s="33" t="s">
        <v>172</v>
      </c>
      <c r="G29" s="33" t="s">
        <v>173</v>
      </c>
      <c r="H29" s="33" t="s">
        <v>8</v>
      </c>
      <c r="I29" s="45" t="s">
        <v>22</v>
      </c>
      <c r="J29" s="33"/>
      <c r="K29" s="33"/>
      <c r="L29" s="33"/>
      <c r="M29" s="33"/>
      <c r="AE29" s="70"/>
      <c r="AH29" s="33">
        <f t="shared" si="1"/>
        <v>22</v>
      </c>
      <c r="AI29" s="34"/>
      <c r="AJ29" s="33" t="s">
        <v>353</v>
      </c>
      <c r="AK29" s="35" t="s">
        <v>183</v>
      </c>
      <c r="AL29" s="33"/>
      <c r="AM29" s="33" t="s">
        <v>172</v>
      </c>
      <c r="AN29" s="33" t="s">
        <v>173</v>
      </c>
      <c r="AO29" s="33" t="s">
        <v>8</v>
      </c>
      <c r="AP29" s="45" t="s">
        <v>22</v>
      </c>
      <c r="AQ29" s="33"/>
      <c r="AR29" s="33"/>
      <c r="AS29" s="33"/>
      <c r="AT29" s="33"/>
    </row>
    <row r="31" spans="1:48">
      <c r="A31" s="6"/>
      <c r="B31" s="7" t="s">
        <v>15</v>
      </c>
      <c r="C31" s="8" t="s">
        <v>34</v>
      </c>
      <c r="D31" s="9"/>
      <c r="E31" s="2" t="s">
        <v>68</v>
      </c>
      <c r="I31" s="37"/>
      <c r="O31" s="125" t="s">
        <v>354</v>
      </c>
      <c r="AH31" s="6"/>
      <c r="AI31" s="7" t="s">
        <v>86</v>
      </c>
      <c r="AJ31" s="8" t="s">
        <v>355</v>
      </c>
      <c r="AK31" s="9"/>
      <c r="AP31" s="37"/>
      <c r="AV31" s="125" t="s">
        <v>354</v>
      </c>
    </row>
    <row r="32" spans="1:48">
      <c r="A32" s="10"/>
      <c r="B32" s="11" t="s">
        <v>124</v>
      </c>
      <c r="C32" s="8" t="str">
        <f>テーブル一覧!E9</f>
        <v>T_SOD_QT_SEND</v>
      </c>
      <c r="D32" s="9"/>
      <c r="E32" s="2" t="s">
        <v>356</v>
      </c>
      <c r="F32" s="3"/>
      <c r="G32" s="3"/>
      <c r="H32" s="3"/>
      <c r="I32" s="37"/>
      <c r="J32" s="3"/>
      <c r="K32" s="3"/>
      <c r="L32" s="3"/>
      <c r="M32" s="38"/>
      <c r="O32" s="5" t="s">
        <v>357</v>
      </c>
      <c r="AH32" s="10"/>
      <c r="AI32" s="11" t="s">
        <v>125</v>
      </c>
      <c r="AJ32" s="8" t="e">
        <f>#REF!</f>
        <v>#REF!</v>
      </c>
      <c r="AK32" s="9"/>
      <c r="AL32" s="2" t="s">
        <v>356</v>
      </c>
      <c r="AM32" s="3"/>
      <c r="AN32" s="3"/>
      <c r="AO32" s="3"/>
      <c r="AP32" s="37"/>
      <c r="AQ32" s="3"/>
      <c r="AR32" s="3"/>
      <c r="AS32" s="3"/>
      <c r="AT32" s="38"/>
      <c r="AV32" s="5" t="s">
        <v>357</v>
      </c>
    </row>
    <row r="33" ht="67.5" spans="1:62">
      <c r="A33" s="12" t="s">
        <v>0</v>
      </c>
      <c r="B33" s="13"/>
      <c r="C33" s="14" t="s">
        <v>126</v>
      </c>
      <c r="D33" s="15" t="s">
        <v>15</v>
      </c>
      <c r="E33" s="14" t="s">
        <v>16</v>
      </c>
      <c r="F33" s="16" t="s">
        <v>127</v>
      </c>
      <c r="G33" s="14" t="s">
        <v>127</v>
      </c>
      <c r="H33" s="14" t="s">
        <v>128</v>
      </c>
      <c r="I33" s="39" t="s">
        <v>129</v>
      </c>
      <c r="J33" s="14" t="s">
        <v>130</v>
      </c>
      <c r="K33" s="14" t="s">
        <v>131</v>
      </c>
      <c r="L33" s="14" t="s">
        <v>132</v>
      </c>
      <c r="M33" s="14" t="s">
        <v>6</v>
      </c>
      <c r="O33" s="126" t="s">
        <v>358</v>
      </c>
      <c r="P33" s="126" t="s">
        <v>359</v>
      </c>
      <c r="Q33" s="126" t="s">
        <v>360</v>
      </c>
      <c r="R33" s="131" t="s">
        <v>361</v>
      </c>
      <c r="S33" s="131" t="s">
        <v>362</v>
      </c>
      <c r="T33" s="131" t="s">
        <v>363</v>
      </c>
      <c r="U33" s="132" t="s">
        <v>364</v>
      </c>
      <c r="V33" s="132" t="s">
        <v>365</v>
      </c>
      <c r="W33" s="133" t="s">
        <v>366</v>
      </c>
      <c r="X33" s="134" t="s">
        <v>367</v>
      </c>
      <c r="Y33" s="126" t="s">
        <v>368</v>
      </c>
      <c r="Z33" s="126" t="s">
        <v>369</v>
      </c>
      <c r="AA33" s="126" t="s">
        <v>370</v>
      </c>
      <c r="AB33" s="126" t="s">
        <v>371</v>
      </c>
      <c r="AC33" s="126" t="s">
        <v>372</v>
      </c>
      <c r="AH33" s="12" t="s">
        <v>0</v>
      </c>
      <c r="AI33" s="13"/>
      <c r="AJ33" s="14" t="s">
        <v>133</v>
      </c>
      <c r="AK33" s="15" t="s">
        <v>86</v>
      </c>
      <c r="AL33" s="14" t="s">
        <v>87</v>
      </c>
      <c r="AM33" s="16" t="s">
        <v>134</v>
      </c>
      <c r="AN33" s="14" t="s">
        <v>134</v>
      </c>
      <c r="AO33" s="14" t="s">
        <v>128</v>
      </c>
      <c r="AP33" s="39" t="s">
        <v>135</v>
      </c>
      <c r="AQ33" s="14" t="s">
        <v>130</v>
      </c>
      <c r="AR33" s="14" t="s">
        <v>136</v>
      </c>
      <c r="AS33" s="14" t="s">
        <v>132</v>
      </c>
      <c r="AT33" s="14" t="s">
        <v>137</v>
      </c>
      <c r="AV33" s="126" t="s">
        <v>358</v>
      </c>
      <c r="AW33" s="126" t="s">
        <v>359</v>
      </c>
      <c r="AX33" s="126" t="s">
        <v>360</v>
      </c>
      <c r="AY33" s="131" t="s">
        <v>361</v>
      </c>
      <c r="AZ33" s="131" t="s">
        <v>362</v>
      </c>
      <c r="BA33" s="131" t="s">
        <v>363</v>
      </c>
      <c r="BB33" s="132" t="s">
        <v>364</v>
      </c>
      <c r="BC33" s="132" t="s">
        <v>365</v>
      </c>
      <c r="BD33" s="133" t="s">
        <v>366</v>
      </c>
      <c r="BE33" s="134" t="s">
        <v>367</v>
      </c>
      <c r="BF33" s="126" t="s">
        <v>368</v>
      </c>
      <c r="BG33" s="126" t="s">
        <v>369</v>
      </c>
      <c r="BH33" s="126" t="s">
        <v>370</v>
      </c>
      <c r="BI33" s="126" t="s">
        <v>371</v>
      </c>
      <c r="BJ33" s="126" t="s">
        <v>372</v>
      </c>
    </row>
    <row r="34" s="2" customFormat="1" spans="1:62">
      <c r="A34" s="31">
        <v>1</v>
      </c>
      <c r="B34" s="59"/>
      <c r="C34" s="31" t="s">
        <v>139</v>
      </c>
      <c r="D34" s="87" t="s">
        <v>300</v>
      </c>
      <c r="E34" s="31"/>
      <c r="F34" s="31" t="s">
        <v>301</v>
      </c>
      <c r="G34" s="32" t="s">
        <v>302</v>
      </c>
      <c r="H34" s="31" t="s">
        <v>8</v>
      </c>
      <c r="I34" s="43" t="s">
        <v>22</v>
      </c>
      <c r="J34" s="31"/>
      <c r="K34" s="31" t="s">
        <v>303</v>
      </c>
      <c r="L34" s="31" t="s">
        <v>188</v>
      </c>
      <c r="M34" s="31"/>
      <c r="O34" s="127" t="s">
        <v>22</v>
      </c>
      <c r="P34" s="127" t="s">
        <v>22</v>
      </c>
      <c r="Q34" s="127" t="s">
        <v>22</v>
      </c>
      <c r="R34" s="127" t="s">
        <v>22</v>
      </c>
      <c r="S34" s="127" t="s">
        <v>22</v>
      </c>
      <c r="T34" s="127" t="s">
        <v>22</v>
      </c>
      <c r="U34" s="127" t="s">
        <v>22</v>
      </c>
      <c r="V34" s="127" t="s">
        <v>22</v>
      </c>
      <c r="W34" s="127" t="s">
        <v>22</v>
      </c>
      <c r="X34" s="127"/>
      <c r="Y34" s="127" t="s">
        <v>22</v>
      </c>
      <c r="Z34" s="127" t="s">
        <v>22</v>
      </c>
      <c r="AA34" s="127" t="s">
        <v>22</v>
      </c>
      <c r="AB34" s="127" t="s">
        <v>22</v>
      </c>
      <c r="AC34" s="127" t="s">
        <v>22</v>
      </c>
      <c r="AE34" s="70"/>
      <c r="AH34" s="31">
        <v>1</v>
      </c>
      <c r="AI34" s="59"/>
      <c r="AJ34" s="31" t="s">
        <v>139</v>
      </c>
      <c r="AK34" s="87" t="s">
        <v>300</v>
      </c>
      <c r="AL34" s="31"/>
      <c r="AM34" s="31" t="s">
        <v>301</v>
      </c>
      <c r="AN34" s="79" t="s">
        <v>302</v>
      </c>
      <c r="AO34" s="31" t="s">
        <v>8</v>
      </c>
      <c r="AP34" s="43" t="s">
        <v>22</v>
      </c>
      <c r="AQ34" s="31"/>
      <c r="AR34" s="31" t="s">
        <v>303</v>
      </c>
      <c r="AS34" s="31" t="s">
        <v>188</v>
      </c>
      <c r="AT34" s="31"/>
      <c r="AV34" s="127" t="s">
        <v>22</v>
      </c>
      <c r="AW34" s="127" t="s">
        <v>22</v>
      </c>
      <c r="AX34" s="127" t="s">
        <v>22</v>
      </c>
      <c r="AY34" s="127" t="s">
        <v>22</v>
      </c>
      <c r="AZ34" s="127" t="s">
        <v>22</v>
      </c>
      <c r="BA34" s="127" t="s">
        <v>22</v>
      </c>
      <c r="BB34" s="127" t="s">
        <v>22</v>
      </c>
      <c r="BC34" s="127" t="s">
        <v>22</v>
      </c>
      <c r="BD34" s="127" t="s">
        <v>22</v>
      </c>
      <c r="BE34" s="127"/>
      <c r="BF34" s="127" t="s">
        <v>22</v>
      </c>
      <c r="BG34" s="127" t="s">
        <v>22</v>
      </c>
      <c r="BH34" s="127" t="s">
        <v>22</v>
      </c>
      <c r="BI34" s="127" t="s">
        <v>22</v>
      </c>
      <c r="BJ34" s="127" t="s">
        <v>22</v>
      </c>
    </row>
    <row r="35" s="2" customFormat="1" ht="67.5" spans="1:62">
      <c r="A35" s="32">
        <f>A34+1</f>
        <v>2</v>
      </c>
      <c r="B35" s="51"/>
      <c r="C35" s="31" t="s">
        <v>344</v>
      </c>
      <c r="D35" s="87" t="s">
        <v>373</v>
      </c>
      <c r="E35" s="31" t="s">
        <v>374</v>
      </c>
      <c r="F35" s="32" t="s">
        <v>153</v>
      </c>
      <c r="G35" s="32" t="s">
        <v>254</v>
      </c>
      <c r="H35" s="32" t="s">
        <v>8</v>
      </c>
      <c r="I35" s="43" t="s">
        <v>22</v>
      </c>
      <c r="J35" s="32">
        <v>0</v>
      </c>
      <c r="K35" s="32"/>
      <c r="L35" s="32" t="s">
        <v>375</v>
      </c>
      <c r="M35" s="32"/>
      <c r="O35" s="127" t="s">
        <v>8</v>
      </c>
      <c r="P35" s="127" t="s">
        <v>8</v>
      </c>
      <c r="Q35" s="127" t="s">
        <v>8</v>
      </c>
      <c r="R35" s="127" t="s">
        <v>8</v>
      </c>
      <c r="S35" s="127" t="s">
        <v>8</v>
      </c>
      <c r="T35" s="127" t="s">
        <v>8</v>
      </c>
      <c r="U35" s="127" t="s">
        <v>8</v>
      </c>
      <c r="V35" s="127" t="s">
        <v>8</v>
      </c>
      <c r="W35" s="127" t="s">
        <v>8</v>
      </c>
      <c r="X35" s="127"/>
      <c r="Y35" s="127" t="s">
        <v>8</v>
      </c>
      <c r="Z35" s="127" t="s">
        <v>8</v>
      </c>
      <c r="AA35" s="127" t="s">
        <v>8</v>
      </c>
      <c r="AB35" s="127" t="s">
        <v>8</v>
      </c>
      <c r="AC35" s="127" t="s">
        <v>8</v>
      </c>
      <c r="AE35" s="70"/>
      <c r="AH35" s="32">
        <f t="shared" ref="AH35:AH86" si="2">AH34+1</f>
        <v>2</v>
      </c>
      <c r="AI35" s="51"/>
      <c r="AJ35" s="90" t="s">
        <v>344</v>
      </c>
      <c r="AK35" s="92" t="s">
        <v>373</v>
      </c>
      <c r="AL35" s="90" t="s">
        <v>376</v>
      </c>
      <c r="AM35" s="32" t="s">
        <v>153</v>
      </c>
      <c r="AN35" s="32" t="s">
        <v>254</v>
      </c>
      <c r="AO35" s="32" t="s">
        <v>8</v>
      </c>
      <c r="AP35" s="43" t="s">
        <v>22</v>
      </c>
      <c r="AQ35" s="32">
        <v>0</v>
      </c>
      <c r="AR35" s="32"/>
      <c r="AS35" s="32" t="s">
        <v>375</v>
      </c>
      <c r="AT35" s="32"/>
      <c r="AV35" s="127" t="s">
        <v>8</v>
      </c>
      <c r="AW35" s="127" t="s">
        <v>8</v>
      </c>
      <c r="AX35" s="127" t="s">
        <v>8</v>
      </c>
      <c r="AY35" s="127" t="s">
        <v>8</v>
      </c>
      <c r="AZ35" s="127" t="s">
        <v>8</v>
      </c>
      <c r="BA35" s="127" t="s">
        <v>8</v>
      </c>
      <c r="BB35" s="127" t="s">
        <v>8</v>
      </c>
      <c r="BC35" s="127" t="s">
        <v>8</v>
      </c>
      <c r="BD35" s="127" t="s">
        <v>8</v>
      </c>
      <c r="BE35" s="127"/>
      <c r="BF35" s="127" t="s">
        <v>8</v>
      </c>
      <c r="BG35" s="127" t="s">
        <v>8</v>
      </c>
      <c r="BH35" s="127" t="s">
        <v>8</v>
      </c>
      <c r="BI35" s="127" t="s">
        <v>8</v>
      </c>
      <c r="BJ35" s="127" t="s">
        <v>8</v>
      </c>
    </row>
    <row r="36" s="2" customFormat="1" spans="1:62">
      <c r="A36" s="61">
        <f t="shared" ref="A36:A86" si="3">A35+1</f>
        <v>3</v>
      </c>
      <c r="B36" s="62"/>
      <c r="C36" s="61" t="s">
        <v>377</v>
      </c>
      <c r="D36" s="63" t="s">
        <v>378</v>
      </c>
      <c r="E36" s="61"/>
      <c r="F36" s="61" t="s">
        <v>301</v>
      </c>
      <c r="G36" s="56" t="s">
        <v>142</v>
      </c>
      <c r="H36" s="61" t="s">
        <v>8</v>
      </c>
      <c r="I36" s="69"/>
      <c r="J36" s="61"/>
      <c r="K36" s="61"/>
      <c r="L36" s="61" t="s">
        <v>379</v>
      </c>
      <c r="M36" s="105" t="s">
        <v>230</v>
      </c>
      <c r="O36" s="127" t="s">
        <v>8</v>
      </c>
      <c r="P36" s="127" t="s">
        <v>8</v>
      </c>
      <c r="Q36" s="127" t="s">
        <v>8</v>
      </c>
      <c r="R36" s="127" t="s">
        <v>8</v>
      </c>
      <c r="S36" s="127" t="s">
        <v>8</v>
      </c>
      <c r="T36" s="127" t="s">
        <v>8</v>
      </c>
      <c r="U36" s="127" t="s">
        <v>8</v>
      </c>
      <c r="V36" s="127" t="s">
        <v>8</v>
      </c>
      <c r="W36" s="127" t="s">
        <v>8</v>
      </c>
      <c r="X36" s="127"/>
      <c r="Y36" s="127" t="s">
        <v>8</v>
      </c>
      <c r="Z36" s="127" t="s">
        <v>8</v>
      </c>
      <c r="AA36" s="127" t="s">
        <v>8</v>
      </c>
      <c r="AB36" s="127" t="s">
        <v>8</v>
      </c>
      <c r="AC36" s="127" t="s">
        <v>8</v>
      </c>
      <c r="AE36" s="70"/>
      <c r="AH36" s="61">
        <f t="shared" si="2"/>
        <v>3</v>
      </c>
      <c r="AI36" s="62"/>
      <c r="AJ36" s="61" t="s">
        <v>377</v>
      </c>
      <c r="AK36" s="63" t="s">
        <v>378</v>
      </c>
      <c r="AL36" s="61"/>
      <c r="AM36" s="61" t="s">
        <v>301</v>
      </c>
      <c r="AN36" s="56" t="s">
        <v>142</v>
      </c>
      <c r="AO36" s="61" t="s">
        <v>8</v>
      </c>
      <c r="AP36" s="69"/>
      <c r="AQ36" s="61"/>
      <c r="AR36" s="61"/>
      <c r="AS36" s="61" t="s">
        <v>379</v>
      </c>
      <c r="AT36" s="105" t="s">
        <v>230</v>
      </c>
      <c r="AV36" s="127" t="s">
        <v>8</v>
      </c>
      <c r="AW36" s="127" t="s">
        <v>8</v>
      </c>
      <c r="AX36" s="127" t="s">
        <v>8</v>
      </c>
      <c r="AY36" s="127" t="s">
        <v>8</v>
      </c>
      <c r="AZ36" s="127" t="s">
        <v>8</v>
      </c>
      <c r="BA36" s="127" t="s">
        <v>8</v>
      </c>
      <c r="BB36" s="127" t="s">
        <v>8</v>
      </c>
      <c r="BC36" s="127" t="s">
        <v>8</v>
      </c>
      <c r="BD36" s="127" t="s">
        <v>8</v>
      </c>
      <c r="BE36" s="127"/>
      <c r="BF36" s="127" t="s">
        <v>8</v>
      </c>
      <c r="BG36" s="127" t="s">
        <v>8</v>
      </c>
      <c r="BH36" s="127" t="s">
        <v>8</v>
      </c>
      <c r="BI36" s="127" t="s">
        <v>8</v>
      </c>
      <c r="BJ36" s="127" t="s">
        <v>8</v>
      </c>
    </row>
    <row r="37" s="2" customFormat="1" ht="45" spans="1:62">
      <c r="A37" s="31">
        <f t="shared" si="3"/>
        <v>4</v>
      </c>
      <c r="B37" s="59"/>
      <c r="C37" s="31" t="s">
        <v>380</v>
      </c>
      <c r="D37" s="87" t="s">
        <v>381</v>
      </c>
      <c r="E37" s="31" t="s">
        <v>382</v>
      </c>
      <c r="F37" s="31" t="s">
        <v>141</v>
      </c>
      <c r="G37" s="31" t="s">
        <v>142</v>
      </c>
      <c r="H37" s="31">
        <v>15</v>
      </c>
      <c r="I37" s="43"/>
      <c r="J37" s="31"/>
      <c r="K37" s="31"/>
      <c r="L37" s="31" t="s">
        <v>383</v>
      </c>
      <c r="M37" s="31"/>
      <c r="O37" s="127" t="s">
        <v>22</v>
      </c>
      <c r="P37" s="127" t="s">
        <v>22</v>
      </c>
      <c r="Q37" s="127" t="s">
        <v>22</v>
      </c>
      <c r="R37" s="127" t="s">
        <v>22</v>
      </c>
      <c r="S37" s="127" t="s">
        <v>22</v>
      </c>
      <c r="T37" s="127" t="s">
        <v>22</v>
      </c>
      <c r="U37" s="127" t="s">
        <v>22</v>
      </c>
      <c r="V37" s="127" t="s">
        <v>22</v>
      </c>
      <c r="W37" s="127" t="s">
        <v>22</v>
      </c>
      <c r="X37" s="127"/>
      <c r="Y37" s="127" t="s">
        <v>22</v>
      </c>
      <c r="Z37" s="127" t="s">
        <v>22</v>
      </c>
      <c r="AA37" s="127" t="s">
        <v>22</v>
      </c>
      <c r="AB37" s="127" t="s">
        <v>22</v>
      </c>
      <c r="AC37" s="127" t="s">
        <v>22</v>
      </c>
      <c r="AE37" s="70"/>
      <c r="AH37" s="31">
        <f t="shared" si="2"/>
        <v>4</v>
      </c>
      <c r="AI37" s="59"/>
      <c r="AJ37" s="31" t="s">
        <v>380</v>
      </c>
      <c r="AK37" s="87" t="s">
        <v>381</v>
      </c>
      <c r="AL37" s="31" t="s">
        <v>384</v>
      </c>
      <c r="AM37" s="31" t="s">
        <v>141</v>
      </c>
      <c r="AN37" s="31" t="s">
        <v>142</v>
      </c>
      <c r="AO37" s="31">
        <v>15</v>
      </c>
      <c r="AP37" s="43"/>
      <c r="AQ37" s="31"/>
      <c r="AR37" s="31"/>
      <c r="AS37" s="31" t="s">
        <v>383</v>
      </c>
      <c r="AT37" s="31"/>
      <c r="AV37" s="127" t="s">
        <v>22</v>
      </c>
      <c r="AW37" s="127" t="s">
        <v>22</v>
      </c>
      <c r="AX37" s="127" t="s">
        <v>22</v>
      </c>
      <c r="AY37" s="127" t="s">
        <v>22</v>
      </c>
      <c r="AZ37" s="127" t="s">
        <v>22</v>
      </c>
      <c r="BA37" s="127" t="s">
        <v>22</v>
      </c>
      <c r="BB37" s="127" t="s">
        <v>22</v>
      </c>
      <c r="BC37" s="127" t="s">
        <v>22</v>
      </c>
      <c r="BD37" s="127" t="s">
        <v>22</v>
      </c>
      <c r="BE37" s="127"/>
      <c r="BF37" s="127" t="s">
        <v>22</v>
      </c>
      <c r="BG37" s="127" t="s">
        <v>22</v>
      </c>
      <c r="BH37" s="127" t="s">
        <v>22</v>
      </c>
      <c r="BI37" s="127" t="s">
        <v>22</v>
      </c>
      <c r="BJ37" s="127" t="s">
        <v>22</v>
      </c>
    </row>
    <row r="38" s="2" customFormat="1" ht="230.25" customHeight="1" spans="1:62">
      <c r="A38" s="31">
        <f t="shared" si="3"/>
        <v>5</v>
      </c>
      <c r="B38" s="59" t="s">
        <v>385</v>
      </c>
      <c r="C38" s="31" t="s">
        <v>386</v>
      </c>
      <c r="D38" s="87" t="s">
        <v>387</v>
      </c>
      <c r="E38" s="32" t="s">
        <v>388</v>
      </c>
      <c r="F38" s="31" t="s">
        <v>141</v>
      </c>
      <c r="G38" s="31" t="s">
        <v>142</v>
      </c>
      <c r="H38" s="31">
        <v>3</v>
      </c>
      <c r="I38" s="43"/>
      <c r="J38" s="31"/>
      <c r="K38" s="31"/>
      <c r="L38" s="31" t="s">
        <v>389</v>
      </c>
      <c r="M38" s="90" t="s">
        <v>390</v>
      </c>
      <c r="O38" s="128"/>
      <c r="P38" s="128"/>
      <c r="Q38" s="128"/>
      <c r="R38" s="128"/>
      <c r="S38" s="128"/>
      <c r="T38" s="128"/>
      <c r="U38" s="128"/>
      <c r="V38" s="128"/>
      <c r="W38" s="128"/>
      <c r="X38" s="128"/>
      <c r="Y38" s="128"/>
      <c r="Z38" s="128"/>
      <c r="AA38" s="128"/>
      <c r="AB38" s="128"/>
      <c r="AC38" s="128"/>
      <c r="AE38" s="70"/>
      <c r="AH38" s="31">
        <f t="shared" si="2"/>
        <v>5</v>
      </c>
      <c r="AI38" s="59"/>
      <c r="AJ38" s="31" t="s">
        <v>386</v>
      </c>
      <c r="AK38" s="87" t="s">
        <v>387</v>
      </c>
      <c r="AL38" s="136" t="s">
        <v>391</v>
      </c>
      <c r="AM38" s="31" t="s">
        <v>141</v>
      </c>
      <c r="AN38" s="31" t="s">
        <v>142</v>
      </c>
      <c r="AO38" s="31">
        <v>3</v>
      </c>
      <c r="AP38" s="43"/>
      <c r="AQ38" s="31"/>
      <c r="AR38" s="31"/>
      <c r="AS38" s="31" t="s">
        <v>389</v>
      </c>
      <c r="AT38" s="90" t="s">
        <v>392</v>
      </c>
      <c r="AV38" s="128"/>
      <c r="AW38" s="128"/>
      <c r="AX38" s="128"/>
      <c r="AY38" s="128"/>
      <c r="AZ38" s="128"/>
      <c r="BA38" s="128"/>
      <c r="BB38" s="128"/>
      <c r="BC38" s="128"/>
      <c r="BD38" s="128"/>
      <c r="BE38" s="128"/>
      <c r="BF38" s="128"/>
      <c r="BG38" s="128"/>
      <c r="BH38" s="128"/>
      <c r="BI38" s="128"/>
      <c r="BJ38" s="128"/>
    </row>
    <row r="39" s="2" customFormat="1" ht="409.5" spans="1:62">
      <c r="A39" s="31">
        <f t="shared" si="3"/>
        <v>6</v>
      </c>
      <c r="B39" s="59" t="s">
        <v>393</v>
      </c>
      <c r="C39" s="31" t="s">
        <v>394</v>
      </c>
      <c r="D39" s="87" t="s">
        <v>395</v>
      </c>
      <c r="E39" s="32" t="s">
        <v>396</v>
      </c>
      <c r="F39" s="31" t="s">
        <v>141</v>
      </c>
      <c r="G39" s="31" t="s">
        <v>142</v>
      </c>
      <c r="H39" s="31">
        <v>5</v>
      </c>
      <c r="I39" s="43"/>
      <c r="J39" s="31"/>
      <c r="K39" s="31"/>
      <c r="L39" s="31"/>
      <c r="M39" s="31"/>
      <c r="O39" s="129" t="s">
        <v>397</v>
      </c>
      <c r="P39" s="128" t="s">
        <v>398</v>
      </c>
      <c r="Q39" s="128" t="s">
        <v>398</v>
      </c>
      <c r="R39" s="128" t="s">
        <v>399</v>
      </c>
      <c r="S39" s="128" t="s">
        <v>400</v>
      </c>
      <c r="T39" s="128" t="s">
        <v>401</v>
      </c>
      <c r="U39" s="128" t="s">
        <v>402</v>
      </c>
      <c r="V39" s="128" t="s">
        <v>403</v>
      </c>
      <c r="W39" s="128" t="s">
        <v>404</v>
      </c>
      <c r="X39" s="128"/>
      <c r="Y39" s="128" t="s">
        <v>405</v>
      </c>
      <c r="Z39" s="128" t="s">
        <v>406</v>
      </c>
      <c r="AA39" s="128" t="s">
        <v>407</v>
      </c>
      <c r="AB39" s="128" t="s">
        <v>408</v>
      </c>
      <c r="AC39" s="128" t="s">
        <v>409</v>
      </c>
      <c r="AE39" s="70"/>
      <c r="AH39" s="31">
        <f t="shared" si="2"/>
        <v>6</v>
      </c>
      <c r="AI39" s="59"/>
      <c r="AJ39" s="31" t="s">
        <v>394</v>
      </c>
      <c r="AK39" s="87" t="s">
        <v>395</v>
      </c>
      <c r="AL39" s="137" t="s">
        <v>410</v>
      </c>
      <c r="AM39" s="31" t="s">
        <v>141</v>
      </c>
      <c r="AN39" s="31" t="s">
        <v>142</v>
      </c>
      <c r="AO39" s="31">
        <v>5</v>
      </c>
      <c r="AP39" s="43"/>
      <c r="AQ39" s="31"/>
      <c r="AR39" s="31"/>
      <c r="AS39" s="31"/>
      <c r="AT39" s="31"/>
      <c r="AV39" s="129" t="s">
        <v>397</v>
      </c>
      <c r="AW39" s="128" t="s">
        <v>398</v>
      </c>
      <c r="AX39" s="128" t="s">
        <v>398</v>
      </c>
      <c r="AY39" s="128" t="s">
        <v>399</v>
      </c>
      <c r="AZ39" s="128" t="s">
        <v>400</v>
      </c>
      <c r="BA39" s="128" t="s">
        <v>401</v>
      </c>
      <c r="BB39" s="128" t="s">
        <v>402</v>
      </c>
      <c r="BC39" s="128" t="s">
        <v>403</v>
      </c>
      <c r="BD39" s="128" t="s">
        <v>404</v>
      </c>
      <c r="BE39" s="128"/>
      <c r="BF39" s="128" t="s">
        <v>405</v>
      </c>
      <c r="BG39" s="128" t="s">
        <v>406</v>
      </c>
      <c r="BH39" s="128" t="s">
        <v>407</v>
      </c>
      <c r="BI39" s="128" t="s">
        <v>408</v>
      </c>
      <c r="BJ39" s="128" t="s">
        <v>409</v>
      </c>
    </row>
    <row r="40" s="2" customFormat="1" spans="1:62">
      <c r="A40" s="61">
        <f t="shared" si="3"/>
        <v>7</v>
      </c>
      <c r="B40" s="62"/>
      <c r="C40" s="61" t="s">
        <v>411</v>
      </c>
      <c r="D40" s="63" t="s">
        <v>412</v>
      </c>
      <c r="E40" s="61"/>
      <c r="F40" s="61" t="s">
        <v>301</v>
      </c>
      <c r="G40" s="56" t="s">
        <v>142</v>
      </c>
      <c r="H40" s="61" t="s">
        <v>8</v>
      </c>
      <c r="I40" s="69"/>
      <c r="J40" s="61"/>
      <c r="K40" s="61"/>
      <c r="L40" s="61" t="s">
        <v>310</v>
      </c>
      <c r="M40" s="105" t="s">
        <v>230</v>
      </c>
      <c r="O40" s="127" t="s">
        <v>8</v>
      </c>
      <c r="P40" s="127" t="s">
        <v>8</v>
      </c>
      <c r="Q40" s="127" t="s">
        <v>8</v>
      </c>
      <c r="R40" s="127" t="s">
        <v>8</v>
      </c>
      <c r="S40" s="127" t="s">
        <v>8</v>
      </c>
      <c r="T40" s="127" t="s">
        <v>8</v>
      </c>
      <c r="U40" s="127" t="s">
        <v>8</v>
      </c>
      <c r="V40" s="127" t="s">
        <v>8</v>
      </c>
      <c r="W40" s="127" t="s">
        <v>8</v>
      </c>
      <c r="X40" s="127"/>
      <c r="Y40" s="127" t="s">
        <v>8</v>
      </c>
      <c r="Z40" s="127" t="s">
        <v>8</v>
      </c>
      <c r="AA40" s="127" t="s">
        <v>8</v>
      </c>
      <c r="AB40" s="127" t="s">
        <v>8</v>
      </c>
      <c r="AC40" s="127" t="s">
        <v>8</v>
      </c>
      <c r="AE40" s="70"/>
      <c r="AH40" s="61">
        <f t="shared" si="2"/>
        <v>7</v>
      </c>
      <c r="AI40" s="62"/>
      <c r="AJ40" s="61" t="s">
        <v>411</v>
      </c>
      <c r="AK40" s="63" t="s">
        <v>412</v>
      </c>
      <c r="AL40" s="61"/>
      <c r="AM40" s="61" t="s">
        <v>301</v>
      </c>
      <c r="AN40" s="56" t="s">
        <v>142</v>
      </c>
      <c r="AO40" s="61" t="s">
        <v>8</v>
      </c>
      <c r="AP40" s="69"/>
      <c r="AQ40" s="61"/>
      <c r="AR40" s="61"/>
      <c r="AS40" s="61" t="s">
        <v>310</v>
      </c>
      <c r="AT40" s="105" t="s">
        <v>230</v>
      </c>
      <c r="AV40" s="127" t="s">
        <v>8</v>
      </c>
      <c r="AW40" s="127" t="s">
        <v>8</v>
      </c>
      <c r="AX40" s="127" t="s">
        <v>8</v>
      </c>
      <c r="AY40" s="127" t="s">
        <v>8</v>
      </c>
      <c r="AZ40" s="127" t="s">
        <v>8</v>
      </c>
      <c r="BA40" s="127" t="s">
        <v>8</v>
      </c>
      <c r="BB40" s="127" t="s">
        <v>8</v>
      </c>
      <c r="BC40" s="127" t="s">
        <v>8</v>
      </c>
      <c r="BD40" s="127" t="s">
        <v>8</v>
      </c>
      <c r="BE40" s="127"/>
      <c r="BF40" s="127" t="s">
        <v>8</v>
      </c>
      <c r="BG40" s="127" t="s">
        <v>8</v>
      </c>
      <c r="BH40" s="127" t="s">
        <v>8</v>
      </c>
      <c r="BI40" s="127" t="s">
        <v>8</v>
      </c>
      <c r="BJ40" s="127" t="s">
        <v>8</v>
      </c>
    </row>
    <row r="41" s="2" customFormat="1" spans="1:62">
      <c r="A41" s="31">
        <f t="shared" si="3"/>
        <v>8</v>
      </c>
      <c r="B41" s="59"/>
      <c r="C41" s="31" t="s">
        <v>413</v>
      </c>
      <c r="D41" s="87" t="s">
        <v>414</v>
      </c>
      <c r="E41" s="31"/>
      <c r="F41" s="31" t="s">
        <v>301</v>
      </c>
      <c r="G41" s="31" t="s">
        <v>306</v>
      </c>
      <c r="H41" s="31" t="s">
        <v>8</v>
      </c>
      <c r="I41" s="43" t="s">
        <v>22</v>
      </c>
      <c r="J41" s="31"/>
      <c r="K41" s="31"/>
      <c r="L41" s="31" t="s">
        <v>415</v>
      </c>
      <c r="M41" s="31"/>
      <c r="O41" s="127" t="s">
        <v>22</v>
      </c>
      <c r="P41" s="127" t="s">
        <v>22</v>
      </c>
      <c r="Q41" s="127" t="s">
        <v>22</v>
      </c>
      <c r="R41" s="127" t="s">
        <v>22</v>
      </c>
      <c r="S41" s="127" t="s">
        <v>22</v>
      </c>
      <c r="T41" s="127" t="s">
        <v>22</v>
      </c>
      <c r="U41" s="127" t="s">
        <v>22</v>
      </c>
      <c r="V41" s="127" t="s">
        <v>22</v>
      </c>
      <c r="W41" s="127" t="s">
        <v>22</v>
      </c>
      <c r="X41" s="127"/>
      <c r="Y41" s="127" t="s">
        <v>22</v>
      </c>
      <c r="Z41" s="127" t="s">
        <v>22</v>
      </c>
      <c r="AA41" s="127" t="s">
        <v>22</v>
      </c>
      <c r="AB41" s="127" t="s">
        <v>22</v>
      </c>
      <c r="AC41" s="127" t="s">
        <v>22</v>
      </c>
      <c r="AE41" s="70"/>
      <c r="AH41" s="31">
        <f t="shared" si="2"/>
        <v>8</v>
      </c>
      <c r="AI41" s="59"/>
      <c r="AJ41" s="31" t="s">
        <v>413</v>
      </c>
      <c r="AK41" s="87" t="s">
        <v>414</v>
      </c>
      <c r="AL41" s="31"/>
      <c r="AM41" s="31" t="s">
        <v>301</v>
      </c>
      <c r="AN41" s="31" t="s">
        <v>306</v>
      </c>
      <c r="AO41" s="31" t="s">
        <v>8</v>
      </c>
      <c r="AP41" s="43" t="s">
        <v>22</v>
      </c>
      <c r="AQ41" s="31"/>
      <c r="AR41" s="31"/>
      <c r="AS41" s="31" t="s">
        <v>415</v>
      </c>
      <c r="AT41" s="31"/>
      <c r="AV41" s="127" t="s">
        <v>22</v>
      </c>
      <c r="AW41" s="127" t="s">
        <v>22</v>
      </c>
      <c r="AX41" s="127" t="s">
        <v>22</v>
      </c>
      <c r="AY41" s="127" t="s">
        <v>22</v>
      </c>
      <c r="AZ41" s="127" t="s">
        <v>22</v>
      </c>
      <c r="BA41" s="127" t="s">
        <v>22</v>
      </c>
      <c r="BB41" s="127" t="s">
        <v>22</v>
      </c>
      <c r="BC41" s="127" t="s">
        <v>22</v>
      </c>
      <c r="BD41" s="127" t="s">
        <v>22</v>
      </c>
      <c r="BE41" s="127"/>
      <c r="BF41" s="127" t="s">
        <v>22</v>
      </c>
      <c r="BG41" s="127" t="s">
        <v>22</v>
      </c>
      <c r="BH41" s="127" t="s">
        <v>22</v>
      </c>
      <c r="BI41" s="127" t="s">
        <v>22</v>
      </c>
      <c r="BJ41" s="127" t="s">
        <v>22</v>
      </c>
    </row>
    <row r="42" s="2" customFormat="1" spans="1:62">
      <c r="A42" s="31">
        <f t="shared" si="3"/>
        <v>9</v>
      </c>
      <c r="B42" s="59"/>
      <c r="C42" s="82" t="s">
        <v>307</v>
      </c>
      <c r="D42" s="96" t="s">
        <v>416</v>
      </c>
      <c r="E42" s="31" t="s">
        <v>417</v>
      </c>
      <c r="F42" s="31" t="s">
        <v>141</v>
      </c>
      <c r="G42" s="31" t="s">
        <v>142</v>
      </c>
      <c r="H42" s="31">
        <v>64</v>
      </c>
      <c r="I42" s="43"/>
      <c r="J42" s="31"/>
      <c r="K42" s="31"/>
      <c r="L42" s="31" t="s">
        <v>418</v>
      </c>
      <c r="M42" s="31"/>
      <c r="O42" s="127" t="s">
        <v>22</v>
      </c>
      <c r="P42" s="127" t="s">
        <v>22</v>
      </c>
      <c r="Q42" s="127" t="s">
        <v>22</v>
      </c>
      <c r="R42" s="127" t="s">
        <v>22</v>
      </c>
      <c r="S42" s="127" t="s">
        <v>8</v>
      </c>
      <c r="T42" s="127" t="s">
        <v>8</v>
      </c>
      <c r="U42" s="127" t="s">
        <v>8</v>
      </c>
      <c r="V42" s="127" t="s">
        <v>8</v>
      </c>
      <c r="W42" s="127" t="s">
        <v>8</v>
      </c>
      <c r="X42" s="127"/>
      <c r="Y42" s="127" t="s">
        <v>8</v>
      </c>
      <c r="Z42" s="127" t="s">
        <v>8</v>
      </c>
      <c r="AA42" s="127" t="s">
        <v>8</v>
      </c>
      <c r="AB42" s="127" t="s">
        <v>8</v>
      </c>
      <c r="AC42" s="127" t="s">
        <v>8</v>
      </c>
      <c r="AE42" s="70"/>
      <c r="AH42" s="31">
        <f t="shared" si="2"/>
        <v>9</v>
      </c>
      <c r="AI42" s="59"/>
      <c r="AJ42" s="82" t="s">
        <v>307</v>
      </c>
      <c r="AK42" s="96" t="s">
        <v>416</v>
      </c>
      <c r="AL42" s="31" t="s">
        <v>419</v>
      </c>
      <c r="AM42" s="31" t="s">
        <v>141</v>
      </c>
      <c r="AN42" s="31" t="s">
        <v>142</v>
      </c>
      <c r="AO42" s="31">
        <v>64</v>
      </c>
      <c r="AP42" s="43"/>
      <c r="AQ42" s="31"/>
      <c r="AR42" s="31"/>
      <c r="AS42" s="31" t="s">
        <v>418</v>
      </c>
      <c r="AT42" s="31"/>
      <c r="AV42" s="127" t="s">
        <v>22</v>
      </c>
      <c r="AW42" s="127" t="s">
        <v>22</v>
      </c>
      <c r="AX42" s="127" t="s">
        <v>22</v>
      </c>
      <c r="AY42" s="127" t="s">
        <v>22</v>
      </c>
      <c r="AZ42" s="127" t="s">
        <v>8</v>
      </c>
      <c r="BA42" s="127" t="s">
        <v>8</v>
      </c>
      <c r="BB42" s="127" t="s">
        <v>8</v>
      </c>
      <c r="BC42" s="127" t="s">
        <v>8</v>
      </c>
      <c r="BD42" s="127" t="s">
        <v>8</v>
      </c>
      <c r="BE42" s="127"/>
      <c r="BF42" s="127" t="s">
        <v>8</v>
      </c>
      <c r="BG42" s="127" t="s">
        <v>8</v>
      </c>
      <c r="BH42" s="127" t="s">
        <v>8</v>
      </c>
      <c r="BI42" s="127" t="s">
        <v>8</v>
      </c>
      <c r="BJ42" s="127" t="s">
        <v>8</v>
      </c>
    </row>
    <row r="43" ht="33.75" spans="1:62">
      <c r="A43" s="31">
        <f t="shared" si="3"/>
        <v>10</v>
      </c>
      <c r="B43" s="59"/>
      <c r="C43" s="31" t="s">
        <v>420</v>
      </c>
      <c r="D43" s="31" t="s">
        <v>421</v>
      </c>
      <c r="E43" s="31" t="s">
        <v>422</v>
      </c>
      <c r="F43" s="31" t="s">
        <v>141</v>
      </c>
      <c r="G43" s="31" t="s">
        <v>142</v>
      </c>
      <c r="H43" s="31">
        <v>11</v>
      </c>
      <c r="I43" s="43"/>
      <c r="J43" s="31"/>
      <c r="K43" s="31"/>
      <c r="L43" s="31"/>
      <c r="M43" s="31"/>
      <c r="N43" s="2"/>
      <c r="O43" s="127" t="s">
        <v>8</v>
      </c>
      <c r="P43" s="127" t="s">
        <v>22</v>
      </c>
      <c r="Q43" s="127" t="s">
        <v>22</v>
      </c>
      <c r="R43" s="127" t="s">
        <v>22</v>
      </c>
      <c r="S43" s="127" t="s">
        <v>22</v>
      </c>
      <c r="T43" s="127" t="s">
        <v>22</v>
      </c>
      <c r="U43" s="127" t="s">
        <v>22</v>
      </c>
      <c r="V43" s="127" t="s">
        <v>22</v>
      </c>
      <c r="W43" s="127" t="s">
        <v>8</v>
      </c>
      <c r="X43" s="127"/>
      <c r="Y43" s="127" t="s">
        <v>8</v>
      </c>
      <c r="Z43" s="127" t="s">
        <v>8</v>
      </c>
      <c r="AA43" s="127" t="s">
        <v>8</v>
      </c>
      <c r="AB43" s="127" t="s">
        <v>8</v>
      </c>
      <c r="AC43" s="127" t="s">
        <v>8</v>
      </c>
      <c r="AH43" s="31">
        <f t="shared" si="2"/>
        <v>10</v>
      </c>
      <c r="AI43" s="59"/>
      <c r="AJ43" s="31" t="s">
        <v>420</v>
      </c>
      <c r="AK43" s="31" t="s">
        <v>423</v>
      </c>
      <c r="AL43" s="31" t="s">
        <v>422</v>
      </c>
      <c r="AM43" s="31" t="s">
        <v>141</v>
      </c>
      <c r="AN43" s="31" t="s">
        <v>142</v>
      </c>
      <c r="AO43" s="31">
        <v>11</v>
      </c>
      <c r="AP43" s="43"/>
      <c r="AQ43" s="31"/>
      <c r="AR43" s="31"/>
      <c r="AS43" s="31"/>
      <c r="AT43" s="31"/>
      <c r="AU43" s="2"/>
      <c r="AV43" s="127" t="s">
        <v>8</v>
      </c>
      <c r="AW43" s="127" t="s">
        <v>22</v>
      </c>
      <c r="AX43" s="127" t="s">
        <v>22</v>
      </c>
      <c r="AY43" s="127" t="s">
        <v>22</v>
      </c>
      <c r="AZ43" s="127" t="s">
        <v>22</v>
      </c>
      <c r="BA43" s="127" t="s">
        <v>22</v>
      </c>
      <c r="BB43" s="127" t="s">
        <v>22</v>
      </c>
      <c r="BC43" s="127" t="s">
        <v>22</v>
      </c>
      <c r="BD43" s="127" t="s">
        <v>8</v>
      </c>
      <c r="BE43" s="127"/>
      <c r="BF43" s="127" t="s">
        <v>8</v>
      </c>
      <c r="BG43" s="127" t="s">
        <v>8</v>
      </c>
      <c r="BH43" s="127" t="s">
        <v>8</v>
      </c>
      <c r="BI43" s="127" t="s">
        <v>8</v>
      </c>
      <c r="BJ43" s="127" t="s">
        <v>8</v>
      </c>
    </row>
    <row r="44" ht="22.5" spans="1:62">
      <c r="A44" s="31">
        <f t="shared" si="3"/>
        <v>11</v>
      </c>
      <c r="B44" s="59"/>
      <c r="C44" s="31" t="s">
        <v>424</v>
      </c>
      <c r="D44" s="31" t="s">
        <v>425</v>
      </c>
      <c r="E44" s="87"/>
      <c r="F44" s="31" t="s">
        <v>141</v>
      </c>
      <c r="G44" s="31" t="s">
        <v>142</v>
      </c>
      <c r="H44" s="31">
        <v>11</v>
      </c>
      <c r="I44" s="43"/>
      <c r="J44" s="31"/>
      <c r="K44" s="31"/>
      <c r="L44" s="31"/>
      <c r="M44" s="31"/>
      <c r="N44" s="2"/>
      <c r="O44" s="127" t="s">
        <v>8</v>
      </c>
      <c r="P44" s="127" t="s">
        <v>8</v>
      </c>
      <c r="Q44" s="127" t="s">
        <v>8</v>
      </c>
      <c r="R44" s="127" t="s">
        <v>8</v>
      </c>
      <c r="S44" s="127" t="s">
        <v>8</v>
      </c>
      <c r="T44" s="127" t="s">
        <v>8</v>
      </c>
      <c r="U44" s="127" t="s">
        <v>8</v>
      </c>
      <c r="V44" s="127" t="s">
        <v>8</v>
      </c>
      <c r="W44" s="127" t="s">
        <v>8</v>
      </c>
      <c r="X44" s="127"/>
      <c r="Y44" s="127" t="s">
        <v>8</v>
      </c>
      <c r="Z44" s="127" t="s">
        <v>8</v>
      </c>
      <c r="AA44" s="127" t="s">
        <v>8</v>
      </c>
      <c r="AB44" s="127" t="s">
        <v>8</v>
      </c>
      <c r="AC44" s="127" t="s">
        <v>8</v>
      </c>
      <c r="AH44" s="31">
        <f t="shared" si="2"/>
        <v>11</v>
      </c>
      <c r="AI44" s="59"/>
      <c r="AJ44" s="31" t="s">
        <v>424</v>
      </c>
      <c r="AK44" s="31" t="s">
        <v>425</v>
      </c>
      <c r="AL44" s="87"/>
      <c r="AM44" s="31" t="s">
        <v>141</v>
      </c>
      <c r="AN44" s="31" t="s">
        <v>142</v>
      </c>
      <c r="AO44" s="31">
        <v>11</v>
      </c>
      <c r="AP44" s="43"/>
      <c r="AQ44" s="31"/>
      <c r="AR44" s="31"/>
      <c r="AS44" s="31"/>
      <c r="AT44" s="31"/>
      <c r="AU44" s="2"/>
      <c r="AV44" s="127" t="s">
        <v>8</v>
      </c>
      <c r="AW44" s="127" t="s">
        <v>8</v>
      </c>
      <c r="AX44" s="127" t="s">
        <v>8</v>
      </c>
      <c r="AY44" s="127" t="s">
        <v>8</v>
      </c>
      <c r="AZ44" s="127" t="s">
        <v>8</v>
      </c>
      <c r="BA44" s="127" t="s">
        <v>8</v>
      </c>
      <c r="BB44" s="127" t="s">
        <v>8</v>
      </c>
      <c r="BC44" s="127" t="s">
        <v>8</v>
      </c>
      <c r="BD44" s="127" t="s">
        <v>8</v>
      </c>
      <c r="BE44" s="127"/>
      <c r="BF44" s="127" t="s">
        <v>8</v>
      </c>
      <c r="BG44" s="127" t="s">
        <v>8</v>
      </c>
      <c r="BH44" s="127" t="s">
        <v>8</v>
      </c>
      <c r="BI44" s="127" t="s">
        <v>8</v>
      </c>
      <c r="BJ44" s="127" t="s">
        <v>8</v>
      </c>
    </row>
    <row r="45" s="2" customFormat="1" spans="1:62">
      <c r="A45" s="31">
        <f t="shared" si="3"/>
        <v>12</v>
      </c>
      <c r="B45" s="59"/>
      <c r="C45" s="31" t="s">
        <v>426</v>
      </c>
      <c r="D45" s="31" t="s">
        <v>427</v>
      </c>
      <c r="E45" s="31" t="s">
        <v>428</v>
      </c>
      <c r="F45" s="31" t="s">
        <v>141</v>
      </c>
      <c r="G45" s="31" t="s">
        <v>142</v>
      </c>
      <c r="H45" s="31">
        <v>8</v>
      </c>
      <c r="I45" s="43"/>
      <c r="J45" s="31"/>
      <c r="K45" s="31"/>
      <c r="L45" s="31"/>
      <c r="M45" s="31"/>
      <c r="O45" s="127" t="s">
        <v>8</v>
      </c>
      <c r="P45" s="127" t="s">
        <v>8</v>
      </c>
      <c r="Q45" s="127" t="s">
        <v>8</v>
      </c>
      <c r="R45" s="127" t="s">
        <v>22</v>
      </c>
      <c r="S45" s="127" t="s">
        <v>8</v>
      </c>
      <c r="T45" s="127" t="s">
        <v>8</v>
      </c>
      <c r="U45" s="127" t="s">
        <v>8</v>
      </c>
      <c r="V45" s="127" t="s">
        <v>8</v>
      </c>
      <c r="W45" s="127" t="s">
        <v>8</v>
      </c>
      <c r="X45" s="127"/>
      <c r="Y45" s="127" t="s">
        <v>8</v>
      </c>
      <c r="Z45" s="127" t="s">
        <v>8</v>
      </c>
      <c r="AA45" s="127" t="s">
        <v>8</v>
      </c>
      <c r="AB45" s="127" t="s">
        <v>8</v>
      </c>
      <c r="AC45" s="127" t="s">
        <v>8</v>
      </c>
      <c r="AE45" s="70"/>
      <c r="AH45" s="31">
        <f t="shared" si="2"/>
        <v>12</v>
      </c>
      <c r="AI45" s="59"/>
      <c r="AJ45" s="31" t="s">
        <v>426</v>
      </c>
      <c r="AK45" s="31" t="s">
        <v>427</v>
      </c>
      <c r="AL45" s="31" t="s">
        <v>428</v>
      </c>
      <c r="AM45" s="31" t="s">
        <v>141</v>
      </c>
      <c r="AN45" s="31" t="s">
        <v>142</v>
      </c>
      <c r="AO45" s="31">
        <v>8</v>
      </c>
      <c r="AP45" s="43"/>
      <c r="AQ45" s="31"/>
      <c r="AR45" s="31"/>
      <c r="AS45" s="31"/>
      <c r="AT45" s="31"/>
      <c r="AV45" s="127" t="s">
        <v>8</v>
      </c>
      <c r="AW45" s="127" t="s">
        <v>8</v>
      </c>
      <c r="AX45" s="127" t="s">
        <v>8</v>
      </c>
      <c r="AY45" s="127" t="s">
        <v>22</v>
      </c>
      <c r="AZ45" s="127" t="s">
        <v>8</v>
      </c>
      <c r="BA45" s="127" t="s">
        <v>8</v>
      </c>
      <c r="BB45" s="127" t="s">
        <v>8</v>
      </c>
      <c r="BC45" s="127" t="s">
        <v>8</v>
      </c>
      <c r="BD45" s="127" t="s">
        <v>8</v>
      </c>
      <c r="BE45" s="127"/>
      <c r="BF45" s="127" t="s">
        <v>8</v>
      </c>
      <c r="BG45" s="127" t="s">
        <v>8</v>
      </c>
      <c r="BH45" s="127" t="s">
        <v>8</v>
      </c>
      <c r="BI45" s="127" t="s">
        <v>8</v>
      </c>
      <c r="BJ45" s="127" t="s">
        <v>8</v>
      </c>
    </row>
    <row r="46" s="2" customFormat="1" ht="22.5" spans="1:62">
      <c r="A46" s="31">
        <f t="shared" si="3"/>
        <v>13</v>
      </c>
      <c r="B46" s="59"/>
      <c r="C46" s="31" t="s">
        <v>429</v>
      </c>
      <c r="D46" s="87" t="s">
        <v>430</v>
      </c>
      <c r="E46" s="32" t="s">
        <v>223</v>
      </c>
      <c r="F46" s="31" t="s">
        <v>141</v>
      </c>
      <c r="G46" s="31" t="s">
        <v>142</v>
      </c>
      <c r="H46" s="31">
        <v>1</v>
      </c>
      <c r="I46" s="43"/>
      <c r="J46" s="226" t="s">
        <v>224</v>
      </c>
      <c r="K46" s="31"/>
      <c r="L46" s="31"/>
      <c r="M46" s="31" t="s">
        <v>431</v>
      </c>
      <c r="O46" s="127" t="s">
        <v>8</v>
      </c>
      <c r="P46" s="127" t="s">
        <v>8</v>
      </c>
      <c r="Q46" s="127" t="s">
        <v>8</v>
      </c>
      <c r="R46" s="127" t="s">
        <v>22</v>
      </c>
      <c r="S46" s="127" t="s">
        <v>22</v>
      </c>
      <c r="T46" s="127" t="s">
        <v>22</v>
      </c>
      <c r="U46" s="127" t="s">
        <v>8</v>
      </c>
      <c r="V46" s="127" t="s">
        <v>8</v>
      </c>
      <c r="W46" s="127" t="s">
        <v>8</v>
      </c>
      <c r="X46" s="127"/>
      <c r="Y46" s="127" t="s">
        <v>8</v>
      </c>
      <c r="Z46" s="127" t="s">
        <v>8</v>
      </c>
      <c r="AA46" s="127" t="s">
        <v>8</v>
      </c>
      <c r="AB46" s="127" t="s">
        <v>8</v>
      </c>
      <c r="AC46" s="127" t="s">
        <v>8</v>
      </c>
      <c r="AE46" s="70"/>
      <c r="AH46" s="31">
        <f t="shared" si="2"/>
        <v>13</v>
      </c>
      <c r="AI46" s="59"/>
      <c r="AJ46" s="31" t="s">
        <v>429</v>
      </c>
      <c r="AK46" s="87" t="s">
        <v>430</v>
      </c>
      <c r="AL46" s="32" t="s">
        <v>226</v>
      </c>
      <c r="AM46" s="31" t="s">
        <v>141</v>
      </c>
      <c r="AN46" s="31" t="s">
        <v>142</v>
      </c>
      <c r="AO46" s="31">
        <v>1</v>
      </c>
      <c r="AP46" s="43"/>
      <c r="AQ46" s="226" t="s">
        <v>224</v>
      </c>
      <c r="AR46" s="31"/>
      <c r="AS46" s="31"/>
      <c r="AT46" s="31" t="s">
        <v>432</v>
      </c>
      <c r="AV46" s="127" t="s">
        <v>8</v>
      </c>
      <c r="AW46" s="127" t="s">
        <v>8</v>
      </c>
      <c r="AX46" s="127" t="s">
        <v>8</v>
      </c>
      <c r="AY46" s="127" t="s">
        <v>22</v>
      </c>
      <c r="AZ46" s="127" t="s">
        <v>22</v>
      </c>
      <c r="BA46" s="127" t="s">
        <v>22</v>
      </c>
      <c r="BB46" s="127" t="s">
        <v>8</v>
      </c>
      <c r="BC46" s="127" t="s">
        <v>8</v>
      </c>
      <c r="BD46" s="127" t="s">
        <v>8</v>
      </c>
      <c r="BE46" s="127"/>
      <c r="BF46" s="127" t="s">
        <v>8</v>
      </c>
      <c r="BG46" s="127" t="s">
        <v>8</v>
      </c>
      <c r="BH46" s="127" t="s">
        <v>8</v>
      </c>
      <c r="BI46" s="127" t="s">
        <v>8</v>
      </c>
      <c r="BJ46" s="127" t="s">
        <v>8</v>
      </c>
    </row>
    <row r="47" s="2" customFormat="1" ht="33.75" spans="1:62">
      <c r="A47" s="31">
        <f t="shared" si="3"/>
        <v>14</v>
      </c>
      <c r="B47" s="59"/>
      <c r="C47" s="31" t="s">
        <v>433</v>
      </c>
      <c r="D47" s="87" t="s">
        <v>434</v>
      </c>
      <c r="E47" s="124" t="s">
        <v>435</v>
      </c>
      <c r="F47" s="31" t="s">
        <v>141</v>
      </c>
      <c r="G47" s="31" t="s">
        <v>142</v>
      </c>
      <c r="H47" s="31">
        <v>1</v>
      </c>
      <c r="I47" s="43"/>
      <c r="J47" s="31"/>
      <c r="K47" s="31"/>
      <c r="L47" s="31"/>
      <c r="M47" s="31"/>
      <c r="O47" s="127" t="s">
        <v>8</v>
      </c>
      <c r="P47" s="127" t="s">
        <v>8</v>
      </c>
      <c r="Q47" s="127" t="s">
        <v>8</v>
      </c>
      <c r="R47" s="127" t="s">
        <v>22</v>
      </c>
      <c r="S47" s="127" t="s">
        <v>22</v>
      </c>
      <c r="T47" s="127" t="s">
        <v>22</v>
      </c>
      <c r="U47" s="127" t="s">
        <v>22</v>
      </c>
      <c r="V47" s="127" t="s">
        <v>22</v>
      </c>
      <c r="W47" s="127" t="s">
        <v>8</v>
      </c>
      <c r="X47" s="127"/>
      <c r="Y47" s="127" t="s">
        <v>8</v>
      </c>
      <c r="Z47" s="127" t="s">
        <v>8</v>
      </c>
      <c r="AA47" s="127" t="s">
        <v>8</v>
      </c>
      <c r="AB47" s="127" t="s">
        <v>8</v>
      </c>
      <c r="AC47" s="127" t="s">
        <v>8</v>
      </c>
      <c r="AE47" s="70"/>
      <c r="AH47" s="31">
        <f t="shared" si="2"/>
        <v>14</v>
      </c>
      <c r="AI47" s="59"/>
      <c r="AJ47" s="31" t="s">
        <v>433</v>
      </c>
      <c r="AK47" s="87" t="s">
        <v>434</v>
      </c>
      <c r="AL47" s="31" t="s">
        <v>436</v>
      </c>
      <c r="AM47" s="31" t="s">
        <v>141</v>
      </c>
      <c r="AN47" s="31" t="s">
        <v>142</v>
      </c>
      <c r="AO47" s="31">
        <v>1</v>
      </c>
      <c r="AP47" s="43"/>
      <c r="AQ47" s="31"/>
      <c r="AR47" s="31"/>
      <c r="AS47" s="31"/>
      <c r="AT47" s="31"/>
      <c r="AV47" s="127" t="s">
        <v>8</v>
      </c>
      <c r="AW47" s="127" t="s">
        <v>8</v>
      </c>
      <c r="AX47" s="127" t="s">
        <v>8</v>
      </c>
      <c r="AY47" s="127" t="s">
        <v>22</v>
      </c>
      <c r="AZ47" s="127" t="s">
        <v>22</v>
      </c>
      <c r="BA47" s="127" t="s">
        <v>22</v>
      </c>
      <c r="BB47" s="127" t="s">
        <v>22</v>
      </c>
      <c r="BC47" s="127" t="s">
        <v>22</v>
      </c>
      <c r="BD47" s="127" t="s">
        <v>8</v>
      </c>
      <c r="BE47" s="127"/>
      <c r="BF47" s="127" t="s">
        <v>8</v>
      </c>
      <c r="BG47" s="127" t="s">
        <v>8</v>
      </c>
      <c r="BH47" s="127" t="s">
        <v>8</v>
      </c>
      <c r="BI47" s="127" t="s">
        <v>8</v>
      </c>
      <c r="BJ47" s="127" t="s">
        <v>8</v>
      </c>
    </row>
    <row r="48" s="2" customFormat="1" spans="1:62">
      <c r="A48" s="31">
        <f t="shared" si="3"/>
        <v>15</v>
      </c>
      <c r="B48" s="59"/>
      <c r="C48" s="31" t="s">
        <v>437</v>
      </c>
      <c r="D48" s="87" t="s">
        <v>438</v>
      </c>
      <c r="E48" s="87" t="s">
        <v>439</v>
      </c>
      <c r="F48" s="31" t="s">
        <v>141</v>
      </c>
      <c r="G48" s="31" t="s">
        <v>142</v>
      </c>
      <c r="H48" s="31">
        <v>8</v>
      </c>
      <c r="I48" s="43"/>
      <c r="J48" s="31"/>
      <c r="K48" s="31"/>
      <c r="L48" s="31"/>
      <c r="M48" s="31"/>
      <c r="O48" s="127" t="s">
        <v>8</v>
      </c>
      <c r="P48" s="127" t="s">
        <v>8</v>
      </c>
      <c r="Q48" s="127" t="s">
        <v>8</v>
      </c>
      <c r="R48" s="127" t="s">
        <v>22</v>
      </c>
      <c r="S48" s="127" t="s">
        <v>8</v>
      </c>
      <c r="T48" s="127" t="s">
        <v>8</v>
      </c>
      <c r="U48" s="127" t="s">
        <v>8</v>
      </c>
      <c r="V48" s="127" t="s">
        <v>8</v>
      </c>
      <c r="W48" s="127" t="s">
        <v>8</v>
      </c>
      <c r="X48" s="127"/>
      <c r="Y48" s="127" t="s">
        <v>8</v>
      </c>
      <c r="Z48" s="127" t="s">
        <v>8</v>
      </c>
      <c r="AA48" s="127" t="s">
        <v>8</v>
      </c>
      <c r="AB48" s="127" t="s">
        <v>8</v>
      </c>
      <c r="AC48" s="127" t="s">
        <v>8</v>
      </c>
      <c r="AE48" s="70"/>
      <c r="AH48" s="31">
        <f t="shared" si="2"/>
        <v>15</v>
      </c>
      <c r="AI48" s="59"/>
      <c r="AJ48" s="31" t="s">
        <v>437</v>
      </c>
      <c r="AK48" s="87" t="s">
        <v>438</v>
      </c>
      <c r="AL48" s="87" t="s">
        <v>439</v>
      </c>
      <c r="AM48" s="31" t="s">
        <v>141</v>
      </c>
      <c r="AN48" s="31" t="s">
        <v>142</v>
      </c>
      <c r="AO48" s="31">
        <v>8</v>
      </c>
      <c r="AP48" s="43"/>
      <c r="AQ48" s="31"/>
      <c r="AR48" s="31"/>
      <c r="AS48" s="31"/>
      <c r="AT48" s="31"/>
      <c r="AV48" s="127" t="s">
        <v>8</v>
      </c>
      <c r="AW48" s="127" t="s">
        <v>8</v>
      </c>
      <c r="AX48" s="127" t="s">
        <v>8</v>
      </c>
      <c r="AY48" s="127" t="s">
        <v>22</v>
      </c>
      <c r="AZ48" s="127" t="s">
        <v>8</v>
      </c>
      <c r="BA48" s="127" t="s">
        <v>8</v>
      </c>
      <c r="BB48" s="127" t="s">
        <v>8</v>
      </c>
      <c r="BC48" s="127" t="s">
        <v>8</v>
      </c>
      <c r="BD48" s="127" t="s">
        <v>8</v>
      </c>
      <c r="BE48" s="127"/>
      <c r="BF48" s="127" t="s">
        <v>8</v>
      </c>
      <c r="BG48" s="127" t="s">
        <v>8</v>
      </c>
      <c r="BH48" s="127" t="s">
        <v>8</v>
      </c>
      <c r="BI48" s="127" t="s">
        <v>8</v>
      </c>
      <c r="BJ48" s="127" t="s">
        <v>8</v>
      </c>
    </row>
    <row r="49" s="2" customFormat="1" spans="1:62">
      <c r="A49" s="31">
        <f t="shared" si="3"/>
        <v>16</v>
      </c>
      <c r="B49" s="59"/>
      <c r="C49" s="31" t="s">
        <v>440</v>
      </c>
      <c r="D49" s="87" t="s">
        <v>441</v>
      </c>
      <c r="E49" s="87"/>
      <c r="F49" s="31" t="s">
        <v>141</v>
      </c>
      <c r="G49" s="31" t="s">
        <v>142</v>
      </c>
      <c r="H49" s="31">
        <v>40</v>
      </c>
      <c r="I49" s="43"/>
      <c r="J49" s="31"/>
      <c r="K49" s="31"/>
      <c r="L49" s="31"/>
      <c r="M49" s="31"/>
      <c r="O49" s="127" t="s">
        <v>22</v>
      </c>
      <c r="P49" s="127" t="s">
        <v>22</v>
      </c>
      <c r="Q49" s="127" t="s">
        <v>22</v>
      </c>
      <c r="R49" s="127" t="s">
        <v>22</v>
      </c>
      <c r="S49" s="127" t="s">
        <v>22</v>
      </c>
      <c r="T49" s="127" t="s">
        <v>22</v>
      </c>
      <c r="U49" s="127" t="s">
        <v>22</v>
      </c>
      <c r="V49" s="127" t="s">
        <v>22</v>
      </c>
      <c r="W49" s="127" t="s">
        <v>22</v>
      </c>
      <c r="X49" s="127"/>
      <c r="Y49" s="127" t="s">
        <v>22</v>
      </c>
      <c r="Z49" s="127" t="s">
        <v>22</v>
      </c>
      <c r="AA49" s="127" t="s">
        <v>22</v>
      </c>
      <c r="AB49" s="127" t="s">
        <v>22</v>
      </c>
      <c r="AC49" s="127" t="s">
        <v>22</v>
      </c>
      <c r="AE49" s="70"/>
      <c r="AH49" s="31">
        <f t="shared" si="2"/>
        <v>16</v>
      </c>
      <c r="AI49" s="59"/>
      <c r="AJ49" s="31" t="s">
        <v>440</v>
      </c>
      <c r="AK49" s="87" t="s">
        <v>441</v>
      </c>
      <c r="AL49" s="87"/>
      <c r="AM49" s="31" t="s">
        <v>141</v>
      </c>
      <c r="AN49" s="31" t="s">
        <v>142</v>
      </c>
      <c r="AO49" s="31">
        <v>40</v>
      </c>
      <c r="AP49" s="43"/>
      <c r="AQ49" s="31"/>
      <c r="AR49" s="31"/>
      <c r="AS49" s="31"/>
      <c r="AT49" s="31"/>
      <c r="AV49" s="127" t="s">
        <v>22</v>
      </c>
      <c r="AW49" s="127" t="s">
        <v>22</v>
      </c>
      <c r="AX49" s="127" t="s">
        <v>22</v>
      </c>
      <c r="AY49" s="127" t="s">
        <v>22</v>
      </c>
      <c r="AZ49" s="127" t="s">
        <v>22</v>
      </c>
      <c r="BA49" s="127" t="s">
        <v>22</v>
      </c>
      <c r="BB49" s="127" t="s">
        <v>22</v>
      </c>
      <c r="BC49" s="127" t="s">
        <v>22</v>
      </c>
      <c r="BD49" s="127" t="s">
        <v>22</v>
      </c>
      <c r="BE49" s="127"/>
      <c r="BF49" s="127" t="s">
        <v>22</v>
      </c>
      <c r="BG49" s="127" t="s">
        <v>22</v>
      </c>
      <c r="BH49" s="127" t="s">
        <v>22</v>
      </c>
      <c r="BI49" s="127" t="s">
        <v>22</v>
      </c>
      <c r="BJ49" s="127" t="s">
        <v>22</v>
      </c>
    </row>
    <row r="50" s="2" customFormat="1" ht="22.5" spans="1:62">
      <c r="A50" s="31">
        <f t="shared" si="3"/>
        <v>17</v>
      </c>
      <c r="B50" s="59"/>
      <c r="C50" s="31" t="s">
        <v>442</v>
      </c>
      <c r="D50" s="87" t="s">
        <v>443</v>
      </c>
      <c r="E50" s="31" t="s">
        <v>444</v>
      </c>
      <c r="F50" s="31" t="s">
        <v>141</v>
      </c>
      <c r="G50" s="31" t="s">
        <v>142</v>
      </c>
      <c r="H50" s="31">
        <v>1</v>
      </c>
      <c r="I50" s="43"/>
      <c r="J50" s="31"/>
      <c r="K50" s="31"/>
      <c r="L50" s="31"/>
      <c r="M50" s="31"/>
      <c r="O50" s="127" t="s">
        <v>8</v>
      </c>
      <c r="P50" s="127" t="s">
        <v>8</v>
      </c>
      <c r="Q50" s="127" t="s">
        <v>8</v>
      </c>
      <c r="R50" s="127" t="s">
        <v>8</v>
      </c>
      <c r="S50" s="127" t="s">
        <v>8</v>
      </c>
      <c r="T50" s="127" t="s">
        <v>8</v>
      </c>
      <c r="U50" s="127" t="s">
        <v>8</v>
      </c>
      <c r="V50" s="127" t="s">
        <v>8</v>
      </c>
      <c r="W50" s="127" t="s">
        <v>8</v>
      </c>
      <c r="X50" s="127"/>
      <c r="Y50" s="127" t="s">
        <v>8</v>
      </c>
      <c r="Z50" s="127" t="s">
        <v>8</v>
      </c>
      <c r="AA50" s="127" t="s">
        <v>8</v>
      </c>
      <c r="AB50" s="127" t="s">
        <v>8</v>
      </c>
      <c r="AC50" s="127" t="s">
        <v>8</v>
      </c>
      <c r="AE50" s="70"/>
      <c r="AH50" s="31">
        <f t="shared" si="2"/>
        <v>17</v>
      </c>
      <c r="AI50" s="59"/>
      <c r="AJ50" s="31" t="s">
        <v>442</v>
      </c>
      <c r="AK50" s="87" t="s">
        <v>443</v>
      </c>
      <c r="AL50" s="31" t="s">
        <v>445</v>
      </c>
      <c r="AM50" s="31" t="s">
        <v>141</v>
      </c>
      <c r="AN50" s="31" t="s">
        <v>142</v>
      </c>
      <c r="AO50" s="31">
        <v>1</v>
      </c>
      <c r="AP50" s="43"/>
      <c r="AQ50" s="31"/>
      <c r="AR50" s="31"/>
      <c r="AS50" s="31"/>
      <c r="AT50" s="31"/>
      <c r="AV50" s="127" t="s">
        <v>8</v>
      </c>
      <c r="AW50" s="127" t="s">
        <v>8</v>
      </c>
      <c r="AX50" s="127" t="s">
        <v>8</v>
      </c>
      <c r="AY50" s="127" t="s">
        <v>8</v>
      </c>
      <c r="AZ50" s="127" t="s">
        <v>8</v>
      </c>
      <c r="BA50" s="127" t="s">
        <v>8</v>
      </c>
      <c r="BB50" s="127" t="s">
        <v>8</v>
      </c>
      <c r="BC50" s="127" t="s">
        <v>8</v>
      </c>
      <c r="BD50" s="127" t="s">
        <v>8</v>
      </c>
      <c r="BE50" s="127"/>
      <c r="BF50" s="127" t="s">
        <v>8</v>
      </c>
      <c r="BG50" s="127" t="s">
        <v>8</v>
      </c>
      <c r="BH50" s="127" t="s">
        <v>8</v>
      </c>
      <c r="BI50" s="127" t="s">
        <v>8</v>
      </c>
      <c r="BJ50" s="127" t="s">
        <v>8</v>
      </c>
    </row>
    <row r="51" s="2" customFormat="1" ht="168.75" spans="1:62">
      <c r="A51" s="31">
        <f t="shared" si="3"/>
        <v>18</v>
      </c>
      <c r="B51" s="59"/>
      <c r="C51" s="59" t="s">
        <v>446</v>
      </c>
      <c r="D51" s="87" t="s">
        <v>447</v>
      </c>
      <c r="E51" s="226" t="s">
        <v>448</v>
      </c>
      <c r="F51" s="31"/>
      <c r="G51" s="31" t="s">
        <v>142</v>
      </c>
      <c r="H51" s="31">
        <v>10</v>
      </c>
      <c r="I51" s="43"/>
      <c r="J51" s="31"/>
      <c r="K51" s="31"/>
      <c r="L51" s="31"/>
      <c r="M51" s="31"/>
      <c r="O51" s="127"/>
      <c r="P51" s="127"/>
      <c r="Q51" s="127"/>
      <c r="R51" s="127"/>
      <c r="S51" s="127"/>
      <c r="T51" s="127"/>
      <c r="U51" s="127"/>
      <c r="V51" s="127"/>
      <c r="W51" s="127"/>
      <c r="X51" s="127"/>
      <c r="Y51" s="127"/>
      <c r="Z51" s="127"/>
      <c r="AA51" s="127"/>
      <c r="AB51" s="127"/>
      <c r="AC51" s="127"/>
      <c r="AE51" s="70"/>
      <c r="AH51" s="31">
        <f t="shared" si="2"/>
        <v>18</v>
      </c>
      <c r="AI51" s="59"/>
      <c r="AJ51" s="59" t="s">
        <v>446</v>
      </c>
      <c r="AK51" s="138" t="s">
        <v>447</v>
      </c>
      <c r="AL51" s="90" t="s">
        <v>449</v>
      </c>
      <c r="AM51" s="31"/>
      <c r="AN51" s="31" t="s">
        <v>142</v>
      </c>
      <c r="AO51" s="31">
        <v>10</v>
      </c>
      <c r="AP51" s="43"/>
      <c r="AQ51" s="31"/>
      <c r="AR51" s="31"/>
      <c r="AS51" s="31"/>
      <c r="AT51" s="31"/>
      <c r="AV51" s="127"/>
      <c r="AW51" s="127"/>
      <c r="AX51" s="127"/>
      <c r="AY51" s="127"/>
      <c r="AZ51" s="127"/>
      <c r="BA51" s="127"/>
      <c r="BB51" s="127"/>
      <c r="BC51" s="127"/>
      <c r="BD51" s="127"/>
      <c r="BE51" s="127"/>
      <c r="BF51" s="127"/>
      <c r="BG51" s="127"/>
      <c r="BH51" s="127"/>
      <c r="BI51" s="127"/>
      <c r="BJ51" s="127"/>
    </row>
    <row r="52" s="2" customFormat="1" ht="64" customHeight="1" spans="1:46">
      <c r="A52" s="31">
        <f t="shared" si="3"/>
        <v>19</v>
      </c>
      <c r="B52" s="59"/>
      <c r="C52" s="31" t="s">
        <v>450</v>
      </c>
      <c r="D52" s="31" t="s">
        <v>451</v>
      </c>
      <c r="E52" s="31" t="s">
        <v>452</v>
      </c>
      <c r="F52" s="31"/>
      <c r="G52" s="31" t="s">
        <v>142</v>
      </c>
      <c r="H52" s="31">
        <v>32</v>
      </c>
      <c r="I52" s="43"/>
      <c r="J52" s="31"/>
      <c r="K52" s="31"/>
      <c r="L52" s="31"/>
      <c r="M52" s="82" t="s">
        <v>453</v>
      </c>
      <c r="AH52" s="31">
        <f t="shared" si="2"/>
        <v>19</v>
      </c>
      <c r="AI52" s="59"/>
      <c r="AJ52" s="90" t="s">
        <v>450</v>
      </c>
      <c r="AK52" s="90" t="s">
        <v>451</v>
      </c>
      <c r="AL52" s="90" t="s">
        <v>454</v>
      </c>
      <c r="AM52" s="31"/>
      <c r="AN52" s="31" t="s">
        <v>142</v>
      </c>
      <c r="AO52" s="90">
        <v>32</v>
      </c>
      <c r="AP52" s="43"/>
      <c r="AQ52" s="31"/>
      <c r="AR52" s="31"/>
      <c r="AS52" s="31"/>
      <c r="AT52" s="83" t="s">
        <v>455</v>
      </c>
    </row>
    <row r="53" s="2" customFormat="1" spans="1:62">
      <c r="A53" s="31">
        <f t="shared" si="3"/>
        <v>20</v>
      </c>
      <c r="B53" s="59"/>
      <c r="C53" s="59" t="s">
        <v>456</v>
      </c>
      <c r="D53" s="87" t="s">
        <v>457</v>
      </c>
      <c r="E53" s="31"/>
      <c r="F53" s="31"/>
      <c r="G53" s="31" t="s">
        <v>142</v>
      </c>
      <c r="H53" s="31">
        <v>7</v>
      </c>
      <c r="I53" s="43"/>
      <c r="J53" s="31"/>
      <c r="K53" s="31"/>
      <c r="L53" s="31"/>
      <c r="M53" s="31"/>
      <c r="O53" s="127"/>
      <c r="P53" s="127"/>
      <c r="Q53" s="127"/>
      <c r="R53" s="127"/>
      <c r="S53" s="127"/>
      <c r="T53" s="127"/>
      <c r="U53" s="127"/>
      <c r="V53" s="127"/>
      <c r="W53" s="127"/>
      <c r="X53" s="127"/>
      <c r="Y53" s="127"/>
      <c r="Z53" s="127"/>
      <c r="AA53" s="127"/>
      <c r="AB53" s="127"/>
      <c r="AC53" s="127"/>
      <c r="AE53" s="70"/>
      <c r="AH53" s="31">
        <f t="shared" si="2"/>
        <v>20</v>
      </c>
      <c r="AI53" s="59"/>
      <c r="AJ53" s="59" t="s">
        <v>456</v>
      </c>
      <c r="AK53" s="138" t="s">
        <v>457</v>
      </c>
      <c r="AL53" s="31"/>
      <c r="AM53" s="31"/>
      <c r="AN53" s="31" t="s">
        <v>142</v>
      </c>
      <c r="AO53" s="31">
        <v>7</v>
      </c>
      <c r="AP53" s="43"/>
      <c r="AQ53" s="31"/>
      <c r="AR53" s="31"/>
      <c r="AS53" s="31"/>
      <c r="AT53" s="31"/>
      <c r="AV53" s="127"/>
      <c r="AW53" s="127"/>
      <c r="AX53" s="127"/>
      <c r="AY53" s="127"/>
      <c r="AZ53" s="127"/>
      <c r="BA53" s="127"/>
      <c r="BB53" s="127"/>
      <c r="BC53" s="127"/>
      <c r="BD53" s="127"/>
      <c r="BE53" s="127"/>
      <c r="BF53" s="127"/>
      <c r="BG53" s="127"/>
      <c r="BH53" s="127"/>
      <c r="BI53" s="127"/>
      <c r="BJ53" s="127"/>
    </row>
    <row r="54" s="2" customFormat="1" spans="1:62">
      <c r="A54" s="31">
        <f t="shared" si="3"/>
        <v>21</v>
      </c>
      <c r="B54" s="59"/>
      <c r="C54" s="59" t="s">
        <v>458</v>
      </c>
      <c r="D54" s="87" t="s">
        <v>459</v>
      </c>
      <c r="E54" s="31"/>
      <c r="F54" s="31"/>
      <c r="G54" s="31" t="s">
        <v>142</v>
      </c>
      <c r="H54" s="31">
        <v>4</v>
      </c>
      <c r="I54" s="43"/>
      <c r="J54" s="31"/>
      <c r="K54" s="31"/>
      <c r="L54" s="31"/>
      <c r="M54" s="31"/>
      <c r="O54" s="127"/>
      <c r="P54" s="127"/>
      <c r="Q54" s="127"/>
      <c r="R54" s="127"/>
      <c r="S54" s="127"/>
      <c r="T54" s="127"/>
      <c r="U54" s="127"/>
      <c r="V54" s="127"/>
      <c r="W54" s="127"/>
      <c r="X54" s="127"/>
      <c r="Y54" s="127"/>
      <c r="Z54" s="127"/>
      <c r="AA54" s="127"/>
      <c r="AB54" s="127"/>
      <c r="AC54" s="127"/>
      <c r="AE54" s="70"/>
      <c r="AH54" s="31">
        <f t="shared" si="2"/>
        <v>21</v>
      </c>
      <c r="AI54" s="59"/>
      <c r="AJ54" s="59" t="s">
        <v>458</v>
      </c>
      <c r="AK54" s="138" t="s">
        <v>459</v>
      </c>
      <c r="AL54" s="31"/>
      <c r="AM54" s="31"/>
      <c r="AN54" s="31" t="s">
        <v>142</v>
      </c>
      <c r="AO54" s="31">
        <v>4</v>
      </c>
      <c r="AP54" s="43"/>
      <c r="AQ54" s="31"/>
      <c r="AR54" s="31"/>
      <c r="AS54" s="31"/>
      <c r="AT54" s="31"/>
      <c r="AV54" s="127"/>
      <c r="AW54" s="127"/>
      <c r="AX54" s="127"/>
      <c r="AY54" s="127"/>
      <c r="AZ54" s="127"/>
      <c r="BA54" s="127"/>
      <c r="BB54" s="127"/>
      <c r="BC54" s="127"/>
      <c r="BD54" s="127"/>
      <c r="BE54" s="127"/>
      <c r="BF54" s="127"/>
      <c r="BG54" s="127"/>
      <c r="BH54" s="127"/>
      <c r="BI54" s="127"/>
      <c r="BJ54" s="127"/>
    </row>
    <row r="55" s="2" customFormat="1" spans="1:62">
      <c r="A55" s="31">
        <f t="shared" si="3"/>
        <v>22</v>
      </c>
      <c r="B55" s="59"/>
      <c r="C55" s="59" t="s">
        <v>460</v>
      </c>
      <c r="D55" s="87" t="s">
        <v>461</v>
      </c>
      <c r="E55" s="31"/>
      <c r="F55" s="31"/>
      <c r="G55" s="31" t="s">
        <v>142</v>
      </c>
      <c r="H55" s="31">
        <v>104</v>
      </c>
      <c r="I55" s="43"/>
      <c r="J55" s="31"/>
      <c r="K55" s="31"/>
      <c r="L55" s="31"/>
      <c r="M55" s="31"/>
      <c r="O55" s="127"/>
      <c r="P55" s="127"/>
      <c r="Q55" s="127"/>
      <c r="R55" s="127"/>
      <c r="S55" s="127"/>
      <c r="T55" s="127"/>
      <c r="U55" s="127"/>
      <c r="V55" s="127"/>
      <c r="W55" s="127"/>
      <c r="X55" s="127"/>
      <c r="Y55" s="127"/>
      <c r="Z55" s="127"/>
      <c r="AA55" s="127"/>
      <c r="AB55" s="127"/>
      <c r="AC55" s="127"/>
      <c r="AE55" s="70"/>
      <c r="AH55" s="31">
        <f t="shared" si="2"/>
        <v>22</v>
      </c>
      <c r="AI55" s="59"/>
      <c r="AJ55" s="59" t="s">
        <v>460</v>
      </c>
      <c r="AK55" s="138" t="s">
        <v>461</v>
      </c>
      <c r="AL55" s="31"/>
      <c r="AM55" s="31"/>
      <c r="AN55" s="31" t="s">
        <v>142</v>
      </c>
      <c r="AO55" s="31">
        <v>104</v>
      </c>
      <c r="AP55" s="43"/>
      <c r="AQ55" s="31"/>
      <c r="AR55" s="31"/>
      <c r="AS55" s="31"/>
      <c r="AT55" s="31"/>
      <c r="AV55" s="127"/>
      <c r="AW55" s="127"/>
      <c r="AX55" s="127"/>
      <c r="AY55" s="127"/>
      <c r="AZ55" s="127"/>
      <c r="BA55" s="127"/>
      <c r="BB55" s="127"/>
      <c r="BC55" s="127"/>
      <c r="BD55" s="127"/>
      <c r="BE55" s="127"/>
      <c r="BF55" s="127"/>
      <c r="BG55" s="127"/>
      <c r="BH55" s="127"/>
      <c r="BI55" s="127"/>
      <c r="BJ55" s="127"/>
    </row>
    <row r="56" s="2" customFormat="1" spans="1:62">
      <c r="A56" s="31">
        <f t="shared" si="3"/>
        <v>23</v>
      </c>
      <c r="B56" s="59"/>
      <c r="C56" s="59" t="s">
        <v>462</v>
      </c>
      <c r="D56" s="87" t="s">
        <v>463</v>
      </c>
      <c r="E56" s="31"/>
      <c r="F56" s="31"/>
      <c r="G56" s="31" t="s">
        <v>142</v>
      </c>
      <c r="H56" s="31">
        <v>100</v>
      </c>
      <c r="I56" s="43"/>
      <c r="J56" s="31"/>
      <c r="K56" s="31"/>
      <c r="L56" s="31"/>
      <c r="M56" s="31"/>
      <c r="O56" s="127"/>
      <c r="P56" s="127"/>
      <c r="Q56" s="127"/>
      <c r="R56" s="127"/>
      <c r="S56" s="127"/>
      <c r="T56" s="127"/>
      <c r="U56" s="127"/>
      <c r="V56" s="127"/>
      <c r="W56" s="127"/>
      <c r="X56" s="127"/>
      <c r="Y56" s="127"/>
      <c r="Z56" s="127"/>
      <c r="AA56" s="127"/>
      <c r="AB56" s="127"/>
      <c r="AC56" s="127"/>
      <c r="AE56" s="70"/>
      <c r="AH56" s="31">
        <f t="shared" si="2"/>
        <v>23</v>
      </c>
      <c r="AI56" s="59"/>
      <c r="AJ56" s="59" t="s">
        <v>462</v>
      </c>
      <c r="AK56" s="138" t="s">
        <v>463</v>
      </c>
      <c r="AL56" s="31"/>
      <c r="AM56" s="31"/>
      <c r="AN56" s="31" t="s">
        <v>142</v>
      </c>
      <c r="AO56" s="31">
        <v>100</v>
      </c>
      <c r="AP56" s="43"/>
      <c r="AQ56" s="31"/>
      <c r="AR56" s="31"/>
      <c r="AS56" s="31"/>
      <c r="AT56" s="31"/>
      <c r="AV56" s="127"/>
      <c r="AW56" s="127"/>
      <c r="AX56" s="127"/>
      <c r="AY56" s="127"/>
      <c r="AZ56" s="127"/>
      <c r="BA56" s="127"/>
      <c r="BB56" s="127"/>
      <c r="BC56" s="127"/>
      <c r="BD56" s="127"/>
      <c r="BE56" s="127"/>
      <c r="BF56" s="127"/>
      <c r="BG56" s="127"/>
      <c r="BH56" s="127"/>
      <c r="BI56" s="127"/>
      <c r="BJ56" s="127"/>
    </row>
    <row r="57" s="2" customFormat="1" spans="1:62">
      <c r="A57" s="31">
        <f t="shared" si="3"/>
        <v>24</v>
      </c>
      <c r="B57" s="59"/>
      <c r="C57" s="59" t="s">
        <v>464</v>
      </c>
      <c r="D57" s="87" t="s">
        <v>465</v>
      </c>
      <c r="E57" s="31"/>
      <c r="F57" s="31"/>
      <c r="G57" s="31" t="s">
        <v>142</v>
      </c>
      <c r="H57" s="31">
        <v>100</v>
      </c>
      <c r="I57" s="43"/>
      <c r="J57" s="31"/>
      <c r="K57" s="31"/>
      <c r="L57" s="31"/>
      <c r="M57" s="31"/>
      <c r="O57" s="127"/>
      <c r="P57" s="127"/>
      <c r="Q57" s="127"/>
      <c r="R57" s="127"/>
      <c r="S57" s="127"/>
      <c r="T57" s="127"/>
      <c r="U57" s="127"/>
      <c r="V57" s="127"/>
      <c r="W57" s="127"/>
      <c r="X57" s="127"/>
      <c r="Y57" s="127"/>
      <c r="Z57" s="127"/>
      <c r="AA57" s="127"/>
      <c r="AB57" s="127"/>
      <c r="AC57" s="127"/>
      <c r="AE57" s="70"/>
      <c r="AH57" s="31">
        <f t="shared" si="2"/>
        <v>24</v>
      </c>
      <c r="AI57" s="59"/>
      <c r="AJ57" s="59" t="s">
        <v>464</v>
      </c>
      <c r="AK57" s="138" t="s">
        <v>465</v>
      </c>
      <c r="AL57" s="31"/>
      <c r="AM57" s="31"/>
      <c r="AN57" s="31" t="s">
        <v>142</v>
      </c>
      <c r="AO57" s="31">
        <v>100</v>
      </c>
      <c r="AP57" s="43"/>
      <c r="AQ57" s="31"/>
      <c r="AR57" s="31"/>
      <c r="AS57" s="31"/>
      <c r="AT57" s="31"/>
      <c r="AV57" s="127"/>
      <c r="AW57" s="127"/>
      <c r="AX57" s="127"/>
      <c r="AY57" s="127"/>
      <c r="AZ57" s="127"/>
      <c r="BA57" s="127"/>
      <c r="BB57" s="127"/>
      <c r="BC57" s="127"/>
      <c r="BD57" s="127"/>
      <c r="BE57" s="127"/>
      <c r="BF57" s="127"/>
      <c r="BG57" s="127"/>
      <c r="BH57" s="127"/>
      <c r="BI57" s="127"/>
      <c r="BJ57" s="127"/>
    </row>
    <row r="58" s="2" customFormat="1" ht="22.5" spans="1:62">
      <c r="A58" s="31">
        <f t="shared" si="3"/>
        <v>25</v>
      </c>
      <c r="B58" s="59"/>
      <c r="C58" s="59" t="s">
        <v>466</v>
      </c>
      <c r="D58" s="87" t="s">
        <v>467</v>
      </c>
      <c r="E58" s="31" t="s">
        <v>468</v>
      </c>
      <c r="F58" s="31"/>
      <c r="G58" s="31" t="s">
        <v>142</v>
      </c>
      <c r="H58" s="31">
        <v>11</v>
      </c>
      <c r="I58" s="43"/>
      <c r="J58" s="31"/>
      <c r="K58" s="31"/>
      <c r="L58" s="31"/>
      <c r="M58" s="31" t="s">
        <v>469</v>
      </c>
      <c r="O58" s="127"/>
      <c r="P58" s="127"/>
      <c r="Q58" s="127"/>
      <c r="R58" s="127"/>
      <c r="S58" s="127"/>
      <c r="T58" s="127"/>
      <c r="U58" s="127"/>
      <c r="V58" s="127"/>
      <c r="W58" s="127"/>
      <c r="X58" s="127"/>
      <c r="Y58" s="127"/>
      <c r="Z58" s="127"/>
      <c r="AA58" s="127"/>
      <c r="AB58" s="127"/>
      <c r="AC58" s="127"/>
      <c r="AE58" s="70"/>
      <c r="AH58" s="31">
        <f t="shared" si="2"/>
        <v>25</v>
      </c>
      <c r="AI58" s="59"/>
      <c r="AJ58" s="59" t="s">
        <v>466</v>
      </c>
      <c r="AK58" s="138" t="s">
        <v>467</v>
      </c>
      <c r="AL58" s="31" t="s">
        <v>470</v>
      </c>
      <c r="AM58" s="31"/>
      <c r="AN58" s="31" t="s">
        <v>142</v>
      </c>
      <c r="AO58" s="31">
        <v>11</v>
      </c>
      <c r="AP58" s="43"/>
      <c r="AQ58" s="31"/>
      <c r="AR58" s="31"/>
      <c r="AS58" s="31"/>
      <c r="AT58" s="31" t="s">
        <v>471</v>
      </c>
      <c r="AV58" s="127"/>
      <c r="AW58" s="127"/>
      <c r="AX58" s="127"/>
      <c r="AY58" s="127"/>
      <c r="AZ58" s="127"/>
      <c r="BA58" s="127"/>
      <c r="BB58" s="127"/>
      <c r="BC58" s="127"/>
      <c r="BD58" s="127"/>
      <c r="BE58" s="127"/>
      <c r="BF58" s="127"/>
      <c r="BG58" s="127"/>
      <c r="BH58" s="127"/>
      <c r="BI58" s="127"/>
      <c r="BJ58" s="127"/>
    </row>
    <row r="59" s="2" customFormat="1" spans="1:62">
      <c r="A59" s="31">
        <f t="shared" si="3"/>
        <v>26</v>
      </c>
      <c r="B59" s="59"/>
      <c r="C59" s="59" t="s">
        <v>472</v>
      </c>
      <c r="D59" s="87" t="s">
        <v>473</v>
      </c>
      <c r="E59" s="31"/>
      <c r="F59" s="31"/>
      <c r="G59" s="31" t="s">
        <v>142</v>
      </c>
      <c r="H59" s="31">
        <v>256</v>
      </c>
      <c r="I59" s="43"/>
      <c r="J59" s="31"/>
      <c r="K59" s="31"/>
      <c r="L59" s="31"/>
      <c r="M59" s="31"/>
      <c r="O59" s="127"/>
      <c r="P59" s="127"/>
      <c r="Q59" s="127"/>
      <c r="R59" s="127"/>
      <c r="S59" s="127"/>
      <c r="T59" s="127"/>
      <c r="U59" s="127"/>
      <c r="V59" s="127"/>
      <c r="W59" s="127"/>
      <c r="X59" s="127"/>
      <c r="Y59" s="127"/>
      <c r="Z59" s="127"/>
      <c r="AA59" s="127"/>
      <c r="AB59" s="127"/>
      <c r="AC59" s="127"/>
      <c r="AE59" s="70"/>
      <c r="AH59" s="31">
        <f t="shared" si="2"/>
        <v>26</v>
      </c>
      <c r="AI59" s="59"/>
      <c r="AJ59" s="59" t="s">
        <v>472</v>
      </c>
      <c r="AK59" s="138" t="s">
        <v>473</v>
      </c>
      <c r="AL59" s="31"/>
      <c r="AM59" s="31"/>
      <c r="AN59" s="31" t="s">
        <v>142</v>
      </c>
      <c r="AO59" s="31">
        <v>256</v>
      </c>
      <c r="AP59" s="43"/>
      <c r="AQ59" s="31"/>
      <c r="AR59" s="31"/>
      <c r="AS59" s="31"/>
      <c r="AT59" s="31"/>
      <c r="AV59" s="127"/>
      <c r="AW59" s="127"/>
      <c r="AX59" s="127"/>
      <c r="AY59" s="127"/>
      <c r="AZ59" s="127"/>
      <c r="BA59" s="127"/>
      <c r="BB59" s="127"/>
      <c r="BC59" s="127"/>
      <c r="BD59" s="127"/>
      <c r="BE59" s="127"/>
      <c r="BF59" s="127"/>
      <c r="BG59" s="127"/>
      <c r="BH59" s="127"/>
      <c r="BI59" s="127"/>
      <c r="BJ59" s="127"/>
    </row>
    <row r="60" s="2" customFormat="1" ht="22.5" spans="1:46">
      <c r="A60" s="31">
        <f t="shared" si="3"/>
        <v>27</v>
      </c>
      <c r="B60" s="59"/>
      <c r="C60" s="31" t="s">
        <v>474</v>
      </c>
      <c r="D60" s="31" t="s">
        <v>475</v>
      </c>
      <c r="E60" s="31" t="s">
        <v>476</v>
      </c>
      <c r="F60" s="31"/>
      <c r="G60" s="31" t="s">
        <v>474</v>
      </c>
      <c r="H60" s="90"/>
      <c r="I60" s="43"/>
      <c r="J60" s="31"/>
      <c r="K60" s="31"/>
      <c r="L60" s="31"/>
      <c r="M60" s="31"/>
      <c r="AH60" s="31">
        <f t="shared" si="2"/>
        <v>27</v>
      </c>
      <c r="AI60" s="59"/>
      <c r="AJ60" s="90" t="s">
        <v>474</v>
      </c>
      <c r="AK60" s="90" t="s">
        <v>475</v>
      </c>
      <c r="AL60" s="31" t="s">
        <v>477</v>
      </c>
      <c r="AM60" s="31"/>
      <c r="AN60" s="31" t="s">
        <v>474</v>
      </c>
      <c r="AO60" s="90"/>
      <c r="AP60" s="43"/>
      <c r="AQ60" s="31"/>
      <c r="AR60" s="31"/>
      <c r="AS60" s="31"/>
      <c r="AT60" s="31"/>
    </row>
    <row r="61" s="2" customFormat="1" spans="1:62">
      <c r="A61" s="31">
        <f t="shared" si="3"/>
        <v>28</v>
      </c>
      <c r="B61" s="59"/>
      <c r="C61" s="59" t="s">
        <v>478</v>
      </c>
      <c r="D61" s="87" t="s">
        <v>479</v>
      </c>
      <c r="E61" s="31" t="s">
        <v>480</v>
      </c>
      <c r="F61" s="31" t="s">
        <v>141</v>
      </c>
      <c r="G61" s="31" t="s">
        <v>142</v>
      </c>
      <c r="H61" s="31">
        <v>10</v>
      </c>
      <c r="I61" s="43"/>
      <c r="J61" s="31"/>
      <c r="K61" s="31"/>
      <c r="L61" s="31"/>
      <c r="M61" s="31"/>
      <c r="O61" s="130" t="s">
        <v>22</v>
      </c>
      <c r="P61" s="130" t="s">
        <v>22</v>
      </c>
      <c r="Q61" s="130" t="s">
        <v>22</v>
      </c>
      <c r="R61" s="130" t="s">
        <v>8</v>
      </c>
      <c r="S61" s="130" t="s">
        <v>8</v>
      </c>
      <c r="T61" s="130" t="s">
        <v>8</v>
      </c>
      <c r="U61" s="130" t="s">
        <v>8</v>
      </c>
      <c r="V61" s="130" t="s">
        <v>8</v>
      </c>
      <c r="W61" s="130" t="s">
        <v>8</v>
      </c>
      <c r="X61" s="130"/>
      <c r="Y61" s="130" t="s">
        <v>8</v>
      </c>
      <c r="Z61" s="130" t="s">
        <v>8</v>
      </c>
      <c r="AA61" s="130" t="s">
        <v>8</v>
      </c>
      <c r="AB61" s="130" t="s">
        <v>8</v>
      </c>
      <c r="AC61" s="130" t="s">
        <v>8</v>
      </c>
      <c r="AE61" s="70"/>
      <c r="AH61" s="31">
        <f t="shared" si="2"/>
        <v>28</v>
      </c>
      <c r="AI61" s="59"/>
      <c r="AJ61" s="59" t="s">
        <v>478</v>
      </c>
      <c r="AK61" s="87" t="s">
        <v>479</v>
      </c>
      <c r="AL61" s="31" t="s">
        <v>481</v>
      </c>
      <c r="AM61" s="31" t="s">
        <v>141</v>
      </c>
      <c r="AN61" s="31" t="s">
        <v>142</v>
      </c>
      <c r="AO61" s="31">
        <v>10</v>
      </c>
      <c r="AP61" s="43"/>
      <c r="AQ61" s="31"/>
      <c r="AR61" s="31"/>
      <c r="AS61" s="31"/>
      <c r="AT61" s="31"/>
      <c r="AV61" s="130" t="s">
        <v>22</v>
      </c>
      <c r="AW61" s="130" t="s">
        <v>22</v>
      </c>
      <c r="AX61" s="130" t="s">
        <v>22</v>
      </c>
      <c r="AY61" s="130" t="s">
        <v>8</v>
      </c>
      <c r="AZ61" s="130" t="s">
        <v>8</v>
      </c>
      <c r="BA61" s="130" t="s">
        <v>8</v>
      </c>
      <c r="BB61" s="130" t="s">
        <v>8</v>
      </c>
      <c r="BC61" s="130" t="s">
        <v>8</v>
      </c>
      <c r="BD61" s="130" t="s">
        <v>8</v>
      </c>
      <c r="BE61" s="130"/>
      <c r="BF61" s="130" t="s">
        <v>8</v>
      </c>
      <c r="BG61" s="130" t="s">
        <v>8</v>
      </c>
      <c r="BH61" s="130" t="s">
        <v>8</v>
      </c>
      <c r="BI61" s="130" t="s">
        <v>8</v>
      </c>
      <c r="BJ61" s="130" t="s">
        <v>8</v>
      </c>
    </row>
    <row r="62" s="2" customFormat="1" spans="1:62">
      <c r="A62" s="31">
        <f t="shared" si="3"/>
        <v>29</v>
      </c>
      <c r="B62" s="59"/>
      <c r="C62" s="59" t="s">
        <v>482</v>
      </c>
      <c r="D62" s="87" t="s">
        <v>483</v>
      </c>
      <c r="E62" s="31" t="s">
        <v>439</v>
      </c>
      <c r="F62" s="31"/>
      <c r="G62" s="31" t="s">
        <v>142</v>
      </c>
      <c r="H62" s="31">
        <v>8</v>
      </c>
      <c r="I62" s="43"/>
      <c r="J62" s="31"/>
      <c r="K62" s="31"/>
      <c r="L62" s="31"/>
      <c r="M62" s="31"/>
      <c r="O62" s="130"/>
      <c r="P62" s="130"/>
      <c r="Q62" s="130"/>
      <c r="R62" s="130"/>
      <c r="S62" s="130"/>
      <c r="T62" s="130"/>
      <c r="U62" s="130"/>
      <c r="V62" s="130"/>
      <c r="W62" s="130"/>
      <c r="X62" s="130"/>
      <c r="Y62" s="130"/>
      <c r="Z62" s="130"/>
      <c r="AA62" s="130"/>
      <c r="AB62" s="130"/>
      <c r="AC62" s="130"/>
      <c r="AE62" s="70"/>
      <c r="AH62" s="31">
        <f t="shared" si="2"/>
        <v>29</v>
      </c>
      <c r="AI62" s="59"/>
      <c r="AJ62" s="59" t="s">
        <v>482</v>
      </c>
      <c r="AK62" s="138" t="s">
        <v>483</v>
      </c>
      <c r="AL62" s="31" t="s">
        <v>439</v>
      </c>
      <c r="AM62" s="31"/>
      <c r="AN62" s="31" t="s">
        <v>142</v>
      </c>
      <c r="AO62" s="31">
        <v>8</v>
      </c>
      <c r="AP62" s="43"/>
      <c r="AQ62" s="31"/>
      <c r="AR62" s="31"/>
      <c r="AS62" s="31"/>
      <c r="AT62" s="31"/>
      <c r="AV62" s="130"/>
      <c r="AW62" s="130"/>
      <c r="AX62" s="130"/>
      <c r="AY62" s="130"/>
      <c r="AZ62" s="130"/>
      <c r="BA62" s="130"/>
      <c r="BB62" s="130"/>
      <c r="BC62" s="130"/>
      <c r="BD62" s="130"/>
      <c r="BE62" s="130"/>
      <c r="BF62" s="130"/>
      <c r="BG62" s="130"/>
      <c r="BH62" s="130"/>
      <c r="BI62" s="130"/>
      <c r="BJ62" s="130"/>
    </row>
    <row r="63" s="2" customFormat="1" spans="1:62">
      <c r="A63" s="31">
        <f t="shared" si="3"/>
        <v>30</v>
      </c>
      <c r="B63" s="59"/>
      <c r="C63" s="59" t="s">
        <v>484</v>
      </c>
      <c r="D63" s="87" t="s">
        <v>485</v>
      </c>
      <c r="E63" s="31"/>
      <c r="F63" s="31" t="s">
        <v>141</v>
      </c>
      <c r="G63" s="31" t="s">
        <v>142</v>
      </c>
      <c r="H63" s="31">
        <v>11</v>
      </c>
      <c r="I63" s="43"/>
      <c r="J63" s="31"/>
      <c r="K63" s="31"/>
      <c r="L63" s="31"/>
      <c r="M63" s="31"/>
      <c r="O63" s="130" t="s">
        <v>22</v>
      </c>
      <c r="P63" s="130" t="s">
        <v>22</v>
      </c>
      <c r="Q63" s="130" t="s">
        <v>22</v>
      </c>
      <c r="R63" s="130" t="s">
        <v>8</v>
      </c>
      <c r="S63" s="130" t="s">
        <v>8</v>
      </c>
      <c r="T63" s="130" t="s">
        <v>8</v>
      </c>
      <c r="U63" s="130" t="s">
        <v>8</v>
      </c>
      <c r="V63" s="130" t="s">
        <v>8</v>
      </c>
      <c r="W63" s="130" t="s">
        <v>8</v>
      </c>
      <c r="X63" s="130"/>
      <c r="Y63" s="130" t="s">
        <v>8</v>
      </c>
      <c r="Z63" s="130" t="s">
        <v>8</v>
      </c>
      <c r="AA63" s="130" t="s">
        <v>8</v>
      </c>
      <c r="AB63" s="130" t="s">
        <v>8</v>
      </c>
      <c r="AC63" s="130" t="s">
        <v>8</v>
      </c>
      <c r="AE63" s="70"/>
      <c r="AH63" s="31">
        <f t="shared" si="2"/>
        <v>30</v>
      </c>
      <c r="AI63" s="59"/>
      <c r="AJ63" s="59" t="s">
        <v>484</v>
      </c>
      <c r="AK63" s="87" t="s">
        <v>485</v>
      </c>
      <c r="AL63" s="31"/>
      <c r="AM63" s="31" t="s">
        <v>141</v>
      </c>
      <c r="AN63" s="31" t="s">
        <v>142</v>
      </c>
      <c r="AO63" s="31">
        <v>11</v>
      </c>
      <c r="AP63" s="43"/>
      <c r="AQ63" s="31"/>
      <c r="AR63" s="31"/>
      <c r="AS63" s="31"/>
      <c r="AT63" s="31"/>
      <c r="AV63" s="130" t="s">
        <v>22</v>
      </c>
      <c r="AW63" s="130" t="s">
        <v>22</v>
      </c>
      <c r="AX63" s="130" t="s">
        <v>22</v>
      </c>
      <c r="AY63" s="130" t="s">
        <v>8</v>
      </c>
      <c r="AZ63" s="130" t="s">
        <v>8</v>
      </c>
      <c r="BA63" s="130" t="s">
        <v>8</v>
      </c>
      <c r="BB63" s="130" t="s">
        <v>8</v>
      </c>
      <c r="BC63" s="130" t="s">
        <v>8</v>
      </c>
      <c r="BD63" s="130" t="s">
        <v>8</v>
      </c>
      <c r="BE63" s="130"/>
      <c r="BF63" s="130" t="s">
        <v>8</v>
      </c>
      <c r="BG63" s="130" t="s">
        <v>8</v>
      </c>
      <c r="BH63" s="130" t="s">
        <v>8</v>
      </c>
      <c r="BI63" s="130" t="s">
        <v>8</v>
      </c>
      <c r="BJ63" s="130" t="s">
        <v>8</v>
      </c>
    </row>
    <row r="64" s="2" customFormat="1" ht="33.75" spans="1:62">
      <c r="A64" s="31">
        <f t="shared" si="3"/>
        <v>31</v>
      </c>
      <c r="B64" s="59"/>
      <c r="C64" s="59" t="s">
        <v>486</v>
      </c>
      <c r="D64" s="87" t="s">
        <v>487</v>
      </c>
      <c r="E64" s="31" t="s">
        <v>488</v>
      </c>
      <c r="F64" s="31" t="s">
        <v>141</v>
      </c>
      <c r="G64" s="31" t="s">
        <v>142</v>
      </c>
      <c r="H64" s="31">
        <v>1</v>
      </c>
      <c r="I64" s="43"/>
      <c r="J64" s="31"/>
      <c r="K64" s="31"/>
      <c r="L64" s="31"/>
      <c r="M64" s="31"/>
      <c r="O64" s="130" t="s">
        <v>22</v>
      </c>
      <c r="P64" s="130" t="s">
        <v>22</v>
      </c>
      <c r="Q64" s="130" t="s">
        <v>22</v>
      </c>
      <c r="R64" s="130" t="s">
        <v>8</v>
      </c>
      <c r="S64" s="130" t="s">
        <v>8</v>
      </c>
      <c r="T64" s="130" t="s">
        <v>8</v>
      </c>
      <c r="U64" s="130" t="s">
        <v>8</v>
      </c>
      <c r="V64" s="130" t="s">
        <v>8</v>
      </c>
      <c r="W64" s="130" t="s">
        <v>8</v>
      </c>
      <c r="X64" s="130"/>
      <c r="Y64" s="130" t="s">
        <v>8</v>
      </c>
      <c r="Z64" s="130" t="s">
        <v>8</v>
      </c>
      <c r="AA64" s="130" t="s">
        <v>8</v>
      </c>
      <c r="AB64" s="130" t="s">
        <v>8</v>
      </c>
      <c r="AC64" s="130" t="s">
        <v>8</v>
      </c>
      <c r="AE64" s="70"/>
      <c r="AH64" s="31">
        <f t="shared" si="2"/>
        <v>31</v>
      </c>
      <c r="AI64" s="59"/>
      <c r="AJ64" s="59" t="s">
        <v>486</v>
      </c>
      <c r="AK64" s="87" t="s">
        <v>487</v>
      </c>
      <c r="AL64" s="31" t="s">
        <v>489</v>
      </c>
      <c r="AM64" s="31" t="s">
        <v>141</v>
      </c>
      <c r="AN64" s="31" t="s">
        <v>142</v>
      </c>
      <c r="AO64" s="31">
        <v>1</v>
      </c>
      <c r="AP64" s="43"/>
      <c r="AQ64" s="31"/>
      <c r="AR64" s="31"/>
      <c r="AS64" s="31"/>
      <c r="AT64" s="31"/>
      <c r="AV64" s="130" t="s">
        <v>22</v>
      </c>
      <c r="AW64" s="130" t="s">
        <v>22</v>
      </c>
      <c r="AX64" s="130" t="s">
        <v>22</v>
      </c>
      <c r="AY64" s="130" t="s">
        <v>8</v>
      </c>
      <c r="AZ64" s="130" t="s">
        <v>8</v>
      </c>
      <c r="BA64" s="130" t="s">
        <v>8</v>
      </c>
      <c r="BB64" s="130" t="s">
        <v>8</v>
      </c>
      <c r="BC64" s="130" t="s">
        <v>8</v>
      </c>
      <c r="BD64" s="130" t="s">
        <v>8</v>
      </c>
      <c r="BE64" s="130"/>
      <c r="BF64" s="130" t="s">
        <v>8</v>
      </c>
      <c r="BG64" s="130" t="s">
        <v>8</v>
      </c>
      <c r="BH64" s="130" t="s">
        <v>8</v>
      </c>
      <c r="BI64" s="130" t="s">
        <v>8</v>
      </c>
      <c r="BJ64" s="130" t="s">
        <v>8</v>
      </c>
    </row>
    <row r="65" s="2" customFormat="1" ht="33.75" spans="1:62">
      <c r="A65" s="31">
        <f t="shared" si="3"/>
        <v>32</v>
      </c>
      <c r="B65" s="59"/>
      <c r="C65" s="31" t="s">
        <v>490</v>
      </c>
      <c r="D65" s="87" t="s">
        <v>491</v>
      </c>
      <c r="E65" s="31" t="s">
        <v>492</v>
      </c>
      <c r="F65" s="31" t="s">
        <v>141</v>
      </c>
      <c r="G65" s="31" t="s">
        <v>142</v>
      </c>
      <c r="H65" s="31">
        <v>59</v>
      </c>
      <c r="I65" s="43"/>
      <c r="J65" s="31"/>
      <c r="K65" s="31"/>
      <c r="L65" s="31"/>
      <c r="M65" s="31"/>
      <c r="O65" s="130" t="s">
        <v>22</v>
      </c>
      <c r="P65" s="130" t="s">
        <v>22</v>
      </c>
      <c r="Q65" s="130" t="s">
        <v>22</v>
      </c>
      <c r="R65" s="130" t="s">
        <v>8</v>
      </c>
      <c r="S65" s="130" t="s">
        <v>8</v>
      </c>
      <c r="T65" s="130" t="s">
        <v>8</v>
      </c>
      <c r="U65" s="130" t="s">
        <v>8</v>
      </c>
      <c r="V65" s="130" t="s">
        <v>8</v>
      </c>
      <c r="W65" s="130" t="s">
        <v>8</v>
      </c>
      <c r="X65" s="130"/>
      <c r="Y65" s="130" t="s">
        <v>8</v>
      </c>
      <c r="Z65" s="130" t="s">
        <v>8</v>
      </c>
      <c r="AA65" s="130" t="s">
        <v>8</v>
      </c>
      <c r="AB65" s="130" t="s">
        <v>8</v>
      </c>
      <c r="AC65" s="130" t="s">
        <v>8</v>
      </c>
      <c r="AE65" s="70"/>
      <c r="AH65" s="31">
        <f t="shared" si="2"/>
        <v>32</v>
      </c>
      <c r="AI65" s="59"/>
      <c r="AJ65" s="31" t="s">
        <v>490</v>
      </c>
      <c r="AK65" s="87" t="s">
        <v>491</v>
      </c>
      <c r="AL65" s="31" t="s">
        <v>493</v>
      </c>
      <c r="AM65" s="31" t="s">
        <v>141</v>
      </c>
      <c r="AN65" s="31" t="s">
        <v>142</v>
      </c>
      <c r="AO65" s="31">
        <v>59</v>
      </c>
      <c r="AP65" s="43"/>
      <c r="AQ65" s="31"/>
      <c r="AR65" s="31"/>
      <c r="AS65" s="31"/>
      <c r="AT65" s="31"/>
      <c r="AV65" s="130" t="s">
        <v>22</v>
      </c>
      <c r="AW65" s="130" t="s">
        <v>22</v>
      </c>
      <c r="AX65" s="130" t="s">
        <v>22</v>
      </c>
      <c r="AY65" s="130" t="s">
        <v>8</v>
      </c>
      <c r="AZ65" s="130" t="s">
        <v>8</v>
      </c>
      <c r="BA65" s="130" t="s">
        <v>8</v>
      </c>
      <c r="BB65" s="130" t="s">
        <v>8</v>
      </c>
      <c r="BC65" s="130" t="s">
        <v>8</v>
      </c>
      <c r="BD65" s="130" t="s">
        <v>8</v>
      </c>
      <c r="BE65" s="130"/>
      <c r="BF65" s="130" t="s">
        <v>8</v>
      </c>
      <c r="BG65" s="130" t="s">
        <v>8</v>
      </c>
      <c r="BH65" s="130" t="s">
        <v>8</v>
      </c>
      <c r="BI65" s="130" t="s">
        <v>8</v>
      </c>
      <c r="BJ65" s="130" t="s">
        <v>8</v>
      </c>
    </row>
    <row r="66" s="2" customFormat="1" ht="45" spans="1:62">
      <c r="A66" s="31">
        <f t="shared" si="3"/>
        <v>33</v>
      </c>
      <c r="B66" s="59"/>
      <c r="C66" s="31" t="s">
        <v>494</v>
      </c>
      <c r="D66" s="87" t="s">
        <v>495</v>
      </c>
      <c r="E66" s="31" t="s">
        <v>496</v>
      </c>
      <c r="F66" s="31" t="s">
        <v>141</v>
      </c>
      <c r="G66" s="31" t="s">
        <v>142</v>
      </c>
      <c r="H66" s="31">
        <v>59</v>
      </c>
      <c r="I66" s="43"/>
      <c r="J66" s="31"/>
      <c r="K66" s="31"/>
      <c r="L66" s="31"/>
      <c r="M66" s="31"/>
      <c r="O66" s="130" t="s">
        <v>22</v>
      </c>
      <c r="P66" s="130" t="s">
        <v>22</v>
      </c>
      <c r="Q66" s="130" t="s">
        <v>22</v>
      </c>
      <c r="R66" s="130" t="s">
        <v>8</v>
      </c>
      <c r="S66" s="130" t="s">
        <v>8</v>
      </c>
      <c r="T66" s="130" t="s">
        <v>8</v>
      </c>
      <c r="U66" s="130" t="s">
        <v>8</v>
      </c>
      <c r="V66" s="130" t="s">
        <v>8</v>
      </c>
      <c r="W66" s="130" t="s">
        <v>8</v>
      </c>
      <c r="X66" s="130"/>
      <c r="Y66" s="130" t="s">
        <v>8</v>
      </c>
      <c r="Z66" s="130" t="s">
        <v>8</v>
      </c>
      <c r="AA66" s="130" t="s">
        <v>8</v>
      </c>
      <c r="AB66" s="130" t="s">
        <v>8</v>
      </c>
      <c r="AC66" s="130" t="s">
        <v>8</v>
      </c>
      <c r="AE66" s="70"/>
      <c r="AH66" s="31">
        <f t="shared" si="2"/>
        <v>33</v>
      </c>
      <c r="AI66" s="59"/>
      <c r="AJ66" s="31" t="s">
        <v>494</v>
      </c>
      <c r="AK66" s="87" t="s">
        <v>495</v>
      </c>
      <c r="AL66" s="31" t="s">
        <v>497</v>
      </c>
      <c r="AM66" s="31" t="s">
        <v>141</v>
      </c>
      <c r="AN66" s="31" t="s">
        <v>142</v>
      </c>
      <c r="AO66" s="31">
        <v>59</v>
      </c>
      <c r="AP66" s="43"/>
      <c r="AQ66" s="31"/>
      <c r="AR66" s="31"/>
      <c r="AS66" s="31"/>
      <c r="AT66" s="31"/>
      <c r="AV66" s="130" t="s">
        <v>22</v>
      </c>
      <c r="AW66" s="130" t="s">
        <v>22</v>
      </c>
      <c r="AX66" s="130" t="s">
        <v>22</v>
      </c>
      <c r="AY66" s="130" t="s">
        <v>8</v>
      </c>
      <c r="AZ66" s="130" t="s">
        <v>8</v>
      </c>
      <c r="BA66" s="130" t="s">
        <v>8</v>
      </c>
      <c r="BB66" s="130" t="s">
        <v>8</v>
      </c>
      <c r="BC66" s="130" t="s">
        <v>8</v>
      </c>
      <c r="BD66" s="130" t="s">
        <v>8</v>
      </c>
      <c r="BE66" s="130"/>
      <c r="BF66" s="130" t="s">
        <v>8</v>
      </c>
      <c r="BG66" s="130" t="s">
        <v>8</v>
      </c>
      <c r="BH66" s="130" t="s">
        <v>8</v>
      </c>
      <c r="BI66" s="130" t="s">
        <v>8</v>
      </c>
      <c r="BJ66" s="130" t="s">
        <v>8</v>
      </c>
    </row>
    <row r="67" s="2" customFormat="1" ht="22.5" spans="1:62">
      <c r="A67" s="31">
        <f t="shared" si="3"/>
        <v>34</v>
      </c>
      <c r="B67" s="59"/>
      <c r="C67" s="31" t="s">
        <v>498</v>
      </c>
      <c r="D67" s="31" t="s">
        <v>499</v>
      </c>
      <c r="E67" s="87" t="s">
        <v>500</v>
      </c>
      <c r="F67" s="31" t="s">
        <v>141</v>
      </c>
      <c r="G67" s="31" t="s">
        <v>142</v>
      </c>
      <c r="H67" s="31">
        <v>39</v>
      </c>
      <c r="I67" s="43"/>
      <c r="J67" s="31"/>
      <c r="K67" s="31"/>
      <c r="L67" s="31"/>
      <c r="M67" s="31"/>
      <c r="O67" s="130" t="s">
        <v>22</v>
      </c>
      <c r="P67" s="130" t="s">
        <v>22</v>
      </c>
      <c r="Q67" s="130" t="s">
        <v>22</v>
      </c>
      <c r="R67" s="130" t="s">
        <v>8</v>
      </c>
      <c r="S67" s="130" t="s">
        <v>8</v>
      </c>
      <c r="T67" s="130" t="s">
        <v>8</v>
      </c>
      <c r="U67" s="130" t="s">
        <v>8</v>
      </c>
      <c r="V67" s="130" t="s">
        <v>8</v>
      </c>
      <c r="W67" s="130" t="s">
        <v>8</v>
      </c>
      <c r="X67" s="130"/>
      <c r="Y67" s="130" t="s">
        <v>8</v>
      </c>
      <c r="Z67" s="130" t="s">
        <v>8</v>
      </c>
      <c r="AA67" s="130" t="s">
        <v>8</v>
      </c>
      <c r="AB67" s="130" t="s">
        <v>8</v>
      </c>
      <c r="AC67" s="130" t="s">
        <v>8</v>
      </c>
      <c r="AE67" s="70"/>
      <c r="AH67" s="31">
        <f t="shared" si="2"/>
        <v>34</v>
      </c>
      <c r="AI67" s="59"/>
      <c r="AJ67" s="31" t="s">
        <v>498</v>
      </c>
      <c r="AK67" s="31" t="s">
        <v>499</v>
      </c>
      <c r="AL67" s="31" t="s">
        <v>501</v>
      </c>
      <c r="AM67" s="31" t="s">
        <v>141</v>
      </c>
      <c r="AN67" s="31" t="s">
        <v>142</v>
      </c>
      <c r="AO67" s="31">
        <v>39</v>
      </c>
      <c r="AP67" s="43"/>
      <c r="AQ67" s="31"/>
      <c r="AR67" s="31"/>
      <c r="AS67" s="31"/>
      <c r="AT67" s="31"/>
      <c r="AV67" s="130" t="s">
        <v>22</v>
      </c>
      <c r="AW67" s="130" t="s">
        <v>22</v>
      </c>
      <c r="AX67" s="130" t="s">
        <v>22</v>
      </c>
      <c r="AY67" s="130" t="s">
        <v>8</v>
      </c>
      <c r="AZ67" s="130" t="s">
        <v>8</v>
      </c>
      <c r="BA67" s="130" t="s">
        <v>8</v>
      </c>
      <c r="BB67" s="130" t="s">
        <v>8</v>
      </c>
      <c r="BC67" s="130" t="s">
        <v>8</v>
      </c>
      <c r="BD67" s="130" t="s">
        <v>8</v>
      </c>
      <c r="BE67" s="130"/>
      <c r="BF67" s="130" t="s">
        <v>8</v>
      </c>
      <c r="BG67" s="130" t="s">
        <v>8</v>
      </c>
      <c r="BH67" s="130" t="s">
        <v>8</v>
      </c>
      <c r="BI67" s="130" t="s">
        <v>8</v>
      </c>
      <c r="BJ67" s="130" t="s">
        <v>8</v>
      </c>
    </row>
    <row r="68" s="2" customFormat="1" ht="47.15" customHeight="1" spans="1:62">
      <c r="A68" s="31">
        <f t="shared" si="3"/>
        <v>35</v>
      </c>
      <c r="B68" s="59"/>
      <c r="C68" s="31" t="s">
        <v>502</v>
      </c>
      <c r="D68" s="31" t="s">
        <v>503</v>
      </c>
      <c r="E68" s="31" t="s">
        <v>504</v>
      </c>
      <c r="F68" s="31" t="s">
        <v>141</v>
      </c>
      <c r="G68" s="31" t="s">
        <v>142</v>
      </c>
      <c r="H68" s="31">
        <v>39</v>
      </c>
      <c r="I68" s="43"/>
      <c r="J68" s="31"/>
      <c r="K68" s="31"/>
      <c r="L68" s="31"/>
      <c r="M68" s="31"/>
      <c r="O68" s="130" t="s">
        <v>22</v>
      </c>
      <c r="P68" s="130" t="s">
        <v>22</v>
      </c>
      <c r="Q68" s="130" t="s">
        <v>22</v>
      </c>
      <c r="R68" s="130" t="s">
        <v>8</v>
      </c>
      <c r="S68" s="130" t="s">
        <v>8</v>
      </c>
      <c r="T68" s="130" t="s">
        <v>8</v>
      </c>
      <c r="U68" s="130" t="s">
        <v>8</v>
      </c>
      <c r="V68" s="130" t="s">
        <v>8</v>
      </c>
      <c r="W68" s="130" t="s">
        <v>8</v>
      </c>
      <c r="X68" s="130"/>
      <c r="Y68" s="130" t="s">
        <v>8</v>
      </c>
      <c r="Z68" s="130" t="s">
        <v>8</v>
      </c>
      <c r="AA68" s="130" t="s">
        <v>8</v>
      </c>
      <c r="AB68" s="130" t="s">
        <v>8</v>
      </c>
      <c r="AC68" s="130" t="s">
        <v>8</v>
      </c>
      <c r="AE68" s="70"/>
      <c r="AH68" s="31">
        <f t="shared" si="2"/>
        <v>35</v>
      </c>
      <c r="AI68" s="59"/>
      <c r="AJ68" s="31" t="s">
        <v>502</v>
      </c>
      <c r="AK68" s="31" t="s">
        <v>503</v>
      </c>
      <c r="AL68" s="31" t="s">
        <v>505</v>
      </c>
      <c r="AM68" s="31" t="s">
        <v>141</v>
      </c>
      <c r="AN68" s="31" t="s">
        <v>142</v>
      </c>
      <c r="AO68" s="31">
        <v>39</v>
      </c>
      <c r="AP68" s="43"/>
      <c r="AQ68" s="31"/>
      <c r="AR68" s="31"/>
      <c r="AS68" s="31"/>
      <c r="AT68" s="31"/>
      <c r="AV68" s="130" t="s">
        <v>22</v>
      </c>
      <c r="AW68" s="130" t="s">
        <v>22</v>
      </c>
      <c r="AX68" s="130" t="s">
        <v>22</v>
      </c>
      <c r="AY68" s="130" t="s">
        <v>8</v>
      </c>
      <c r="AZ68" s="130" t="s">
        <v>8</v>
      </c>
      <c r="BA68" s="130" t="s">
        <v>8</v>
      </c>
      <c r="BB68" s="130" t="s">
        <v>8</v>
      </c>
      <c r="BC68" s="130" t="s">
        <v>8</v>
      </c>
      <c r="BD68" s="130" t="s">
        <v>8</v>
      </c>
      <c r="BE68" s="130"/>
      <c r="BF68" s="130" t="s">
        <v>8</v>
      </c>
      <c r="BG68" s="130" t="s">
        <v>8</v>
      </c>
      <c r="BH68" s="130" t="s">
        <v>8</v>
      </c>
      <c r="BI68" s="130" t="s">
        <v>8</v>
      </c>
      <c r="BJ68" s="130" t="s">
        <v>8</v>
      </c>
    </row>
    <row r="69" s="2" customFormat="1" spans="1:62">
      <c r="A69" s="31">
        <f t="shared" si="3"/>
        <v>36</v>
      </c>
      <c r="B69" s="59"/>
      <c r="C69" s="59" t="s">
        <v>506</v>
      </c>
      <c r="D69" s="87" t="s">
        <v>507</v>
      </c>
      <c r="E69" s="31" t="s">
        <v>508</v>
      </c>
      <c r="F69" s="31" t="s">
        <v>141</v>
      </c>
      <c r="G69" s="31" t="s">
        <v>142</v>
      </c>
      <c r="H69" s="31">
        <v>8</v>
      </c>
      <c r="I69" s="43"/>
      <c r="J69" s="31"/>
      <c r="K69" s="31"/>
      <c r="L69" s="31"/>
      <c r="M69" s="31"/>
      <c r="O69" s="130" t="s">
        <v>8</v>
      </c>
      <c r="P69" s="130" t="s">
        <v>8</v>
      </c>
      <c r="Q69" s="130" t="s">
        <v>8</v>
      </c>
      <c r="R69" s="130" t="s">
        <v>22</v>
      </c>
      <c r="S69" s="130" t="s">
        <v>22</v>
      </c>
      <c r="T69" s="130" t="s">
        <v>22</v>
      </c>
      <c r="U69" s="130" t="s">
        <v>22</v>
      </c>
      <c r="V69" s="130" t="s">
        <v>22</v>
      </c>
      <c r="W69" s="130" t="s">
        <v>8</v>
      </c>
      <c r="X69" s="130"/>
      <c r="Y69" s="130" t="s">
        <v>8</v>
      </c>
      <c r="Z69" s="130" t="s">
        <v>8</v>
      </c>
      <c r="AA69" s="130" t="s">
        <v>8</v>
      </c>
      <c r="AB69" s="130" t="s">
        <v>8</v>
      </c>
      <c r="AC69" s="130" t="s">
        <v>8</v>
      </c>
      <c r="AE69" s="70"/>
      <c r="AH69" s="31">
        <f t="shared" si="2"/>
        <v>36</v>
      </c>
      <c r="AI69" s="59"/>
      <c r="AJ69" s="59" t="s">
        <v>506</v>
      </c>
      <c r="AK69" s="87" t="s">
        <v>507</v>
      </c>
      <c r="AL69" s="31" t="s">
        <v>509</v>
      </c>
      <c r="AM69" s="31" t="s">
        <v>141</v>
      </c>
      <c r="AN69" s="31" t="s">
        <v>142</v>
      </c>
      <c r="AO69" s="31">
        <v>8</v>
      </c>
      <c r="AP69" s="43"/>
      <c r="AQ69" s="31"/>
      <c r="AR69" s="31"/>
      <c r="AS69" s="31"/>
      <c r="AT69" s="31"/>
      <c r="AV69" s="130" t="s">
        <v>8</v>
      </c>
      <c r="AW69" s="130" t="s">
        <v>8</v>
      </c>
      <c r="AX69" s="130" t="s">
        <v>8</v>
      </c>
      <c r="AY69" s="130" t="s">
        <v>22</v>
      </c>
      <c r="AZ69" s="130" t="s">
        <v>22</v>
      </c>
      <c r="BA69" s="130" t="s">
        <v>22</v>
      </c>
      <c r="BB69" s="130" t="s">
        <v>22</v>
      </c>
      <c r="BC69" s="130" t="s">
        <v>22</v>
      </c>
      <c r="BD69" s="130" t="s">
        <v>8</v>
      </c>
      <c r="BE69" s="130"/>
      <c r="BF69" s="130" t="s">
        <v>8</v>
      </c>
      <c r="BG69" s="130" t="s">
        <v>8</v>
      </c>
      <c r="BH69" s="130" t="s">
        <v>8</v>
      </c>
      <c r="BI69" s="130" t="s">
        <v>8</v>
      </c>
      <c r="BJ69" s="130" t="s">
        <v>8</v>
      </c>
    </row>
    <row r="70" s="2" customFormat="1" ht="22.5" spans="1:62">
      <c r="A70" s="31">
        <f t="shared" si="3"/>
        <v>37</v>
      </c>
      <c r="B70" s="59"/>
      <c r="C70" s="59" t="s">
        <v>510</v>
      </c>
      <c r="D70" s="31" t="s">
        <v>511</v>
      </c>
      <c r="E70" s="31"/>
      <c r="F70" s="31" t="s">
        <v>141</v>
      </c>
      <c r="G70" s="31" t="s">
        <v>142</v>
      </c>
      <c r="H70" s="31">
        <v>11</v>
      </c>
      <c r="I70" s="43"/>
      <c r="J70" s="31"/>
      <c r="K70" s="31"/>
      <c r="L70" s="31"/>
      <c r="M70" s="31"/>
      <c r="O70" s="130" t="s">
        <v>8</v>
      </c>
      <c r="P70" s="130" t="s">
        <v>8</v>
      </c>
      <c r="Q70" s="130" t="s">
        <v>8</v>
      </c>
      <c r="R70" s="130" t="s">
        <v>22</v>
      </c>
      <c r="S70" s="130" t="s">
        <v>22</v>
      </c>
      <c r="T70" s="130" t="s">
        <v>22</v>
      </c>
      <c r="U70" s="130" t="s">
        <v>22</v>
      </c>
      <c r="V70" s="130" t="s">
        <v>22</v>
      </c>
      <c r="W70" s="130" t="s">
        <v>8</v>
      </c>
      <c r="X70" s="130"/>
      <c r="Y70" s="130" t="s">
        <v>8</v>
      </c>
      <c r="Z70" s="130" t="s">
        <v>8</v>
      </c>
      <c r="AA70" s="130" t="s">
        <v>8</v>
      </c>
      <c r="AB70" s="130" t="s">
        <v>8</v>
      </c>
      <c r="AC70" s="130" t="s">
        <v>8</v>
      </c>
      <c r="AE70" s="70"/>
      <c r="AH70" s="31">
        <f t="shared" si="2"/>
        <v>37</v>
      </c>
      <c r="AI70" s="59"/>
      <c r="AJ70" s="59" t="s">
        <v>510</v>
      </c>
      <c r="AK70" s="31" t="s">
        <v>512</v>
      </c>
      <c r="AL70" s="31"/>
      <c r="AM70" s="31" t="s">
        <v>141</v>
      </c>
      <c r="AN70" s="31" t="s">
        <v>142</v>
      </c>
      <c r="AO70" s="31">
        <v>11</v>
      </c>
      <c r="AP70" s="43"/>
      <c r="AQ70" s="31"/>
      <c r="AR70" s="31"/>
      <c r="AS70" s="31"/>
      <c r="AT70" s="31"/>
      <c r="AV70" s="130" t="s">
        <v>8</v>
      </c>
      <c r="AW70" s="130" t="s">
        <v>8</v>
      </c>
      <c r="AX70" s="130" t="s">
        <v>8</v>
      </c>
      <c r="AY70" s="130" t="s">
        <v>22</v>
      </c>
      <c r="AZ70" s="130" t="s">
        <v>22</v>
      </c>
      <c r="BA70" s="130" t="s">
        <v>22</v>
      </c>
      <c r="BB70" s="130" t="s">
        <v>22</v>
      </c>
      <c r="BC70" s="130" t="s">
        <v>22</v>
      </c>
      <c r="BD70" s="130" t="s">
        <v>8</v>
      </c>
      <c r="BE70" s="130"/>
      <c r="BF70" s="130" t="s">
        <v>8</v>
      </c>
      <c r="BG70" s="130" t="s">
        <v>8</v>
      </c>
      <c r="BH70" s="130" t="s">
        <v>8</v>
      </c>
      <c r="BI70" s="130" t="s">
        <v>8</v>
      </c>
      <c r="BJ70" s="130" t="s">
        <v>8</v>
      </c>
    </row>
    <row r="71" s="2" customFormat="1" spans="1:62">
      <c r="A71" s="31">
        <f t="shared" si="3"/>
        <v>38</v>
      </c>
      <c r="B71" s="59"/>
      <c r="C71" s="31" t="s">
        <v>513</v>
      </c>
      <c r="D71" s="31" t="s">
        <v>514</v>
      </c>
      <c r="E71" s="31" t="s">
        <v>515</v>
      </c>
      <c r="F71" s="31" t="s">
        <v>516</v>
      </c>
      <c r="G71" s="31" t="s">
        <v>517</v>
      </c>
      <c r="H71" s="31" t="s">
        <v>8</v>
      </c>
      <c r="I71" s="43"/>
      <c r="J71" s="31"/>
      <c r="K71" s="31"/>
      <c r="L71" s="31"/>
      <c r="M71" s="31"/>
      <c r="O71" s="127" t="s">
        <v>518</v>
      </c>
      <c r="P71" s="127" t="s">
        <v>518</v>
      </c>
      <c r="Q71" s="127" t="s">
        <v>518</v>
      </c>
      <c r="R71" s="127" t="s">
        <v>8</v>
      </c>
      <c r="S71" s="127" t="s">
        <v>8</v>
      </c>
      <c r="T71" s="127" t="s">
        <v>8</v>
      </c>
      <c r="U71" s="127" t="s">
        <v>8</v>
      </c>
      <c r="V71" s="127" t="s">
        <v>8</v>
      </c>
      <c r="W71" s="127" t="s">
        <v>8</v>
      </c>
      <c r="X71" s="127"/>
      <c r="Y71" s="127" t="s">
        <v>8</v>
      </c>
      <c r="Z71" s="127" t="s">
        <v>8</v>
      </c>
      <c r="AA71" s="127" t="s">
        <v>8</v>
      </c>
      <c r="AB71" s="127" t="s">
        <v>8</v>
      </c>
      <c r="AC71" s="127" t="s">
        <v>8</v>
      </c>
      <c r="AE71" s="70"/>
      <c r="AH71" s="31">
        <f t="shared" si="2"/>
        <v>38</v>
      </c>
      <c r="AI71" s="59"/>
      <c r="AJ71" s="90" t="s">
        <v>513</v>
      </c>
      <c r="AK71" s="90" t="s">
        <v>514</v>
      </c>
      <c r="AL71" s="31" t="s">
        <v>515</v>
      </c>
      <c r="AM71" s="31" t="s">
        <v>516</v>
      </c>
      <c r="AN71" s="31" t="s">
        <v>517</v>
      </c>
      <c r="AO71" s="31" t="s">
        <v>8</v>
      </c>
      <c r="AP71" s="43"/>
      <c r="AQ71" s="31"/>
      <c r="AR71" s="31"/>
      <c r="AS71" s="31"/>
      <c r="AT71" s="31"/>
      <c r="AV71" s="127" t="s">
        <v>518</v>
      </c>
      <c r="AW71" s="127" t="s">
        <v>518</v>
      </c>
      <c r="AX71" s="127" t="s">
        <v>518</v>
      </c>
      <c r="AY71" s="127" t="s">
        <v>8</v>
      </c>
      <c r="AZ71" s="127" t="s">
        <v>8</v>
      </c>
      <c r="BA71" s="127" t="s">
        <v>8</v>
      </c>
      <c r="BB71" s="127" t="s">
        <v>8</v>
      </c>
      <c r="BC71" s="127" t="s">
        <v>8</v>
      </c>
      <c r="BD71" s="127" t="s">
        <v>8</v>
      </c>
      <c r="BE71" s="127"/>
      <c r="BF71" s="127" t="s">
        <v>8</v>
      </c>
      <c r="BG71" s="127" t="s">
        <v>8</v>
      </c>
      <c r="BH71" s="127" t="s">
        <v>8</v>
      </c>
      <c r="BI71" s="127" t="s">
        <v>8</v>
      </c>
      <c r="BJ71" s="127" t="s">
        <v>8</v>
      </c>
    </row>
    <row r="72" s="2" customFormat="1" spans="1:62">
      <c r="A72" s="31">
        <f t="shared" si="3"/>
        <v>39</v>
      </c>
      <c r="B72" s="59"/>
      <c r="C72" s="31" t="s">
        <v>519</v>
      </c>
      <c r="D72" s="31" t="s">
        <v>520</v>
      </c>
      <c r="E72" s="31" t="s">
        <v>521</v>
      </c>
      <c r="F72" s="31" t="s">
        <v>516</v>
      </c>
      <c r="G72" s="31" t="s">
        <v>517</v>
      </c>
      <c r="H72" s="31" t="s">
        <v>8</v>
      </c>
      <c r="I72" s="43"/>
      <c r="J72" s="31"/>
      <c r="K72" s="31"/>
      <c r="L72" s="31"/>
      <c r="M72" s="31"/>
      <c r="O72" s="130" t="s">
        <v>518</v>
      </c>
      <c r="P72" s="130" t="s">
        <v>518</v>
      </c>
      <c r="Q72" s="130" t="s">
        <v>518</v>
      </c>
      <c r="R72" s="130" t="s">
        <v>8</v>
      </c>
      <c r="S72" s="130" t="s">
        <v>8</v>
      </c>
      <c r="T72" s="130" t="s">
        <v>8</v>
      </c>
      <c r="U72" s="130" t="s">
        <v>8</v>
      </c>
      <c r="V72" s="130" t="s">
        <v>8</v>
      </c>
      <c r="W72" s="130" t="s">
        <v>8</v>
      </c>
      <c r="X72" s="130"/>
      <c r="Y72" s="130" t="s">
        <v>8</v>
      </c>
      <c r="Z72" s="130" t="s">
        <v>8</v>
      </c>
      <c r="AA72" s="130" t="s">
        <v>8</v>
      </c>
      <c r="AB72" s="130" t="s">
        <v>8</v>
      </c>
      <c r="AC72" s="130" t="s">
        <v>8</v>
      </c>
      <c r="AE72" s="70"/>
      <c r="AH72" s="31">
        <f t="shared" si="2"/>
        <v>39</v>
      </c>
      <c r="AI72" s="59"/>
      <c r="AJ72" s="90" t="s">
        <v>519</v>
      </c>
      <c r="AK72" s="90" t="s">
        <v>520</v>
      </c>
      <c r="AL72" s="31" t="s">
        <v>521</v>
      </c>
      <c r="AM72" s="31" t="s">
        <v>516</v>
      </c>
      <c r="AN72" s="31" t="s">
        <v>517</v>
      </c>
      <c r="AO72" s="31" t="s">
        <v>8</v>
      </c>
      <c r="AP72" s="43"/>
      <c r="AQ72" s="31"/>
      <c r="AR72" s="31"/>
      <c r="AS72" s="31"/>
      <c r="AT72" s="31"/>
      <c r="AV72" s="130" t="s">
        <v>518</v>
      </c>
      <c r="AW72" s="130" t="s">
        <v>518</v>
      </c>
      <c r="AX72" s="130" t="s">
        <v>518</v>
      </c>
      <c r="AY72" s="130" t="s">
        <v>8</v>
      </c>
      <c r="AZ72" s="130" t="s">
        <v>8</v>
      </c>
      <c r="BA72" s="130" t="s">
        <v>8</v>
      </c>
      <c r="BB72" s="130" t="s">
        <v>8</v>
      </c>
      <c r="BC72" s="130" t="s">
        <v>8</v>
      </c>
      <c r="BD72" s="130" t="s">
        <v>8</v>
      </c>
      <c r="BE72" s="130"/>
      <c r="BF72" s="130" t="s">
        <v>8</v>
      </c>
      <c r="BG72" s="130" t="s">
        <v>8</v>
      </c>
      <c r="BH72" s="130" t="s">
        <v>8</v>
      </c>
      <c r="BI72" s="130" t="s">
        <v>8</v>
      </c>
      <c r="BJ72" s="130" t="s">
        <v>8</v>
      </c>
    </row>
    <row r="73" s="2" customFormat="1" spans="1:62">
      <c r="A73" s="31">
        <f t="shared" si="3"/>
        <v>40</v>
      </c>
      <c r="B73" s="59"/>
      <c r="C73" s="31" t="s">
        <v>522</v>
      </c>
      <c r="D73" s="87" t="s">
        <v>523</v>
      </c>
      <c r="E73" s="31"/>
      <c r="F73" s="31" t="s">
        <v>172</v>
      </c>
      <c r="G73" s="31" t="s">
        <v>173</v>
      </c>
      <c r="H73" s="31" t="s">
        <v>8</v>
      </c>
      <c r="I73" s="43"/>
      <c r="J73" s="31"/>
      <c r="K73" s="31"/>
      <c r="L73" s="31"/>
      <c r="M73" s="31"/>
      <c r="O73" s="127" t="s">
        <v>518</v>
      </c>
      <c r="P73" s="127" t="s">
        <v>518</v>
      </c>
      <c r="Q73" s="127" t="s">
        <v>518</v>
      </c>
      <c r="R73" s="127" t="s">
        <v>8</v>
      </c>
      <c r="S73" s="127" t="s">
        <v>8</v>
      </c>
      <c r="T73" s="127" t="s">
        <v>8</v>
      </c>
      <c r="U73" s="127" t="s">
        <v>8</v>
      </c>
      <c r="V73" s="127" t="s">
        <v>8</v>
      </c>
      <c r="W73" s="127" t="s">
        <v>8</v>
      </c>
      <c r="X73" s="127"/>
      <c r="Y73" s="127" t="s">
        <v>8</v>
      </c>
      <c r="Z73" s="127" t="s">
        <v>8</v>
      </c>
      <c r="AA73" s="127" t="s">
        <v>8</v>
      </c>
      <c r="AB73" s="127" t="s">
        <v>8</v>
      </c>
      <c r="AC73" s="127" t="s">
        <v>8</v>
      </c>
      <c r="AE73" s="70"/>
      <c r="AH73" s="31">
        <f t="shared" si="2"/>
        <v>40</v>
      </c>
      <c r="AI73" s="59"/>
      <c r="AJ73" s="31" t="s">
        <v>522</v>
      </c>
      <c r="AK73" s="87" t="s">
        <v>523</v>
      </c>
      <c r="AL73" s="31"/>
      <c r="AM73" s="31" t="s">
        <v>172</v>
      </c>
      <c r="AN73" s="31" t="s">
        <v>173</v>
      </c>
      <c r="AO73" s="31" t="s">
        <v>8</v>
      </c>
      <c r="AP73" s="43"/>
      <c r="AQ73" s="31"/>
      <c r="AR73" s="31"/>
      <c r="AS73" s="31"/>
      <c r="AT73" s="31"/>
      <c r="AV73" s="127" t="s">
        <v>518</v>
      </c>
      <c r="AW73" s="127" t="s">
        <v>518</v>
      </c>
      <c r="AX73" s="127" t="s">
        <v>518</v>
      </c>
      <c r="AY73" s="127" t="s">
        <v>8</v>
      </c>
      <c r="AZ73" s="127" t="s">
        <v>8</v>
      </c>
      <c r="BA73" s="127" t="s">
        <v>8</v>
      </c>
      <c r="BB73" s="127" t="s">
        <v>8</v>
      </c>
      <c r="BC73" s="127" t="s">
        <v>8</v>
      </c>
      <c r="BD73" s="127" t="s">
        <v>8</v>
      </c>
      <c r="BE73" s="127"/>
      <c r="BF73" s="127" t="s">
        <v>8</v>
      </c>
      <c r="BG73" s="127" t="s">
        <v>8</v>
      </c>
      <c r="BH73" s="127" t="s">
        <v>8</v>
      </c>
      <c r="BI73" s="127" t="s">
        <v>8</v>
      </c>
      <c r="BJ73" s="127" t="s">
        <v>8</v>
      </c>
    </row>
    <row r="74" s="2" customFormat="1" spans="1:62">
      <c r="A74" s="31">
        <f t="shared" si="3"/>
        <v>41</v>
      </c>
      <c r="B74" s="59"/>
      <c r="C74" s="31" t="s">
        <v>524</v>
      </c>
      <c r="D74" s="87" t="s">
        <v>525</v>
      </c>
      <c r="E74" s="31"/>
      <c r="F74" s="31" t="s">
        <v>172</v>
      </c>
      <c r="G74" s="31" t="s">
        <v>173</v>
      </c>
      <c r="H74" s="31" t="s">
        <v>8</v>
      </c>
      <c r="I74" s="43"/>
      <c r="J74" s="31"/>
      <c r="K74" s="31"/>
      <c r="L74" s="31"/>
      <c r="M74" s="31"/>
      <c r="O74" s="127" t="s">
        <v>518</v>
      </c>
      <c r="P74" s="127" t="s">
        <v>518</v>
      </c>
      <c r="Q74" s="127" t="s">
        <v>518</v>
      </c>
      <c r="R74" s="127" t="s">
        <v>8</v>
      </c>
      <c r="S74" s="127" t="s">
        <v>8</v>
      </c>
      <c r="T74" s="127" t="s">
        <v>8</v>
      </c>
      <c r="U74" s="127" t="s">
        <v>8</v>
      </c>
      <c r="V74" s="127" t="s">
        <v>8</v>
      </c>
      <c r="W74" s="127" t="s">
        <v>8</v>
      </c>
      <c r="X74" s="127"/>
      <c r="Y74" s="127" t="s">
        <v>8</v>
      </c>
      <c r="Z74" s="127" t="s">
        <v>8</v>
      </c>
      <c r="AA74" s="127" t="s">
        <v>8</v>
      </c>
      <c r="AB74" s="127" t="s">
        <v>8</v>
      </c>
      <c r="AC74" s="127" t="s">
        <v>8</v>
      </c>
      <c r="AE74" s="70"/>
      <c r="AH74" s="31">
        <f t="shared" si="2"/>
        <v>41</v>
      </c>
      <c r="AI74" s="59"/>
      <c r="AJ74" s="31" t="s">
        <v>524</v>
      </c>
      <c r="AK74" s="87" t="s">
        <v>525</v>
      </c>
      <c r="AL74" s="31"/>
      <c r="AM74" s="31" t="s">
        <v>172</v>
      </c>
      <c r="AN74" s="31" t="s">
        <v>173</v>
      </c>
      <c r="AO74" s="31" t="s">
        <v>8</v>
      </c>
      <c r="AP74" s="43"/>
      <c r="AQ74" s="31"/>
      <c r="AR74" s="31"/>
      <c r="AS74" s="31"/>
      <c r="AT74" s="31"/>
      <c r="AV74" s="127" t="s">
        <v>518</v>
      </c>
      <c r="AW74" s="127" t="s">
        <v>518</v>
      </c>
      <c r="AX74" s="127" t="s">
        <v>518</v>
      </c>
      <c r="AY74" s="127" t="s">
        <v>8</v>
      </c>
      <c r="AZ74" s="127" t="s">
        <v>8</v>
      </c>
      <c r="BA74" s="127" t="s">
        <v>8</v>
      </c>
      <c r="BB74" s="127" t="s">
        <v>8</v>
      </c>
      <c r="BC74" s="127" t="s">
        <v>8</v>
      </c>
      <c r="BD74" s="127" t="s">
        <v>8</v>
      </c>
      <c r="BE74" s="127"/>
      <c r="BF74" s="127" t="s">
        <v>8</v>
      </c>
      <c r="BG74" s="127" t="s">
        <v>8</v>
      </c>
      <c r="BH74" s="127" t="s">
        <v>8</v>
      </c>
      <c r="BI74" s="127" t="s">
        <v>8</v>
      </c>
      <c r="BJ74" s="127" t="s">
        <v>8</v>
      </c>
    </row>
    <row r="75" s="2" customFormat="1" spans="1:62">
      <c r="A75" s="31">
        <f t="shared" si="3"/>
        <v>42</v>
      </c>
      <c r="B75" s="59"/>
      <c r="C75" s="31" t="s">
        <v>526</v>
      </c>
      <c r="D75" s="87" t="s">
        <v>527</v>
      </c>
      <c r="E75" s="31"/>
      <c r="F75" s="31" t="s">
        <v>172</v>
      </c>
      <c r="G75" s="31" t="s">
        <v>173</v>
      </c>
      <c r="H75" s="31" t="s">
        <v>8</v>
      </c>
      <c r="I75" s="43"/>
      <c r="J75" s="31"/>
      <c r="K75" s="31"/>
      <c r="L75" s="31"/>
      <c r="M75" s="31"/>
      <c r="O75" s="127" t="s">
        <v>518</v>
      </c>
      <c r="P75" s="127" t="s">
        <v>518</v>
      </c>
      <c r="Q75" s="127" t="s">
        <v>518</v>
      </c>
      <c r="R75" s="127" t="s">
        <v>22</v>
      </c>
      <c r="S75" s="127" t="s">
        <v>22</v>
      </c>
      <c r="T75" s="127" t="s">
        <v>22</v>
      </c>
      <c r="U75" s="127" t="s">
        <v>8</v>
      </c>
      <c r="V75" s="127" t="s">
        <v>518</v>
      </c>
      <c r="W75" s="127" t="s">
        <v>8</v>
      </c>
      <c r="X75" s="127"/>
      <c r="Y75" s="127" t="s">
        <v>8</v>
      </c>
      <c r="Z75" s="127" t="s">
        <v>8</v>
      </c>
      <c r="AA75" s="127" t="s">
        <v>8</v>
      </c>
      <c r="AB75" s="127" t="s">
        <v>8</v>
      </c>
      <c r="AC75" s="127" t="s">
        <v>8</v>
      </c>
      <c r="AE75" s="70"/>
      <c r="AH75" s="31">
        <f t="shared" si="2"/>
        <v>42</v>
      </c>
      <c r="AI75" s="59"/>
      <c r="AJ75" s="31" t="s">
        <v>526</v>
      </c>
      <c r="AK75" s="87" t="s">
        <v>527</v>
      </c>
      <c r="AL75" s="31"/>
      <c r="AM75" s="31" t="s">
        <v>172</v>
      </c>
      <c r="AN75" s="31" t="s">
        <v>173</v>
      </c>
      <c r="AO75" s="31" t="s">
        <v>8</v>
      </c>
      <c r="AP75" s="43"/>
      <c r="AQ75" s="31"/>
      <c r="AR75" s="31"/>
      <c r="AS75" s="31"/>
      <c r="AT75" s="31"/>
      <c r="AV75" s="127" t="s">
        <v>518</v>
      </c>
      <c r="AW75" s="127" t="s">
        <v>518</v>
      </c>
      <c r="AX75" s="127" t="s">
        <v>518</v>
      </c>
      <c r="AY75" s="127" t="s">
        <v>22</v>
      </c>
      <c r="AZ75" s="127" t="s">
        <v>22</v>
      </c>
      <c r="BA75" s="127" t="s">
        <v>22</v>
      </c>
      <c r="BB75" s="127" t="s">
        <v>8</v>
      </c>
      <c r="BC75" s="127" t="s">
        <v>518</v>
      </c>
      <c r="BD75" s="127" t="s">
        <v>8</v>
      </c>
      <c r="BE75" s="127"/>
      <c r="BF75" s="127" t="s">
        <v>8</v>
      </c>
      <c r="BG75" s="127" t="s">
        <v>8</v>
      </c>
      <c r="BH75" s="127" t="s">
        <v>8</v>
      </c>
      <c r="BI75" s="127" t="s">
        <v>8</v>
      </c>
      <c r="BJ75" s="127" t="s">
        <v>8</v>
      </c>
    </row>
    <row r="76" s="2" customFormat="1" spans="1:62">
      <c r="A76" s="31">
        <f t="shared" si="3"/>
        <v>43</v>
      </c>
      <c r="B76" s="59"/>
      <c r="C76" s="31" t="s">
        <v>528</v>
      </c>
      <c r="D76" s="87" t="s">
        <v>529</v>
      </c>
      <c r="E76" s="31"/>
      <c r="F76" s="31" t="s">
        <v>172</v>
      </c>
      <c r="G76" s="31" t="s">
        <v>173</v>
      </c>
      <c r="H76" s="31" t="s">
        <v>8</v>
      </c>
      <c r="I76" s="43"/>
      <c r="J76" s="31"/>
      <c r="K76" s="31"/>
      <c r="L76" s="31"/>
      <c r="M76" s="31"/>
      <c r="O76" s="127" t="s">
        <v>518</v>
      </c>
      <c r="P76" s="127" t="s">
        <v>518</v>
      </c>
      <c r="Q76" s="127" t="s">
        <v>518</v>
      </c>
      <c r="R76" s="127" t="s">
        <v>22</v>
      </c>
      <c r="S76" s="127" t="s">
        <v>22</v>
      </c>
      <c r="T76" s="127" t="s">
        <v>22</v>
      </c>
      <c r="U76" s="127" t="s">
        <v>8</v>
      </c>
      <c r="V76" s="127" t="s">
        <v>518</v>
      </c>
      <c r="W76" s="127" t="s">
        <v>8</v>
      </c>
      <c r="X76" s="127"/>
      <c r="Y76" s="127" t="s">
        <v>8</v>
      </c>
      <c r="Z76" s="127" t="s">
        <v>8</v>
      </c>
      <c r="AA76" s="127" t="s">
        <v>8</v>
      </c>
      <c r="AB76" s="127" t="s">
        <v>8</v>
      </c>
      <c r="AC76" s="127" t="s">
        <v>8</v>
      </c>
      <c r="AE76" s="70"/>
      <c r="AH76" s="31">
        <f t="shared" si="2"/>
        <v>43</v>
      </c>
      <c r="AI76" s="59"/>
      <c r="AJ76" s="31" t="s">
        <v>528</v>
      </c>
      <c r="AK76" s="87" t="s">
        <v>529</v>
      </c>
      <c r="AL76" s="31"/>
      <c r="AM76" s="31" t="s">
        <v>172</v>
      </c>
      <c r="AN76" s="31" t="s">
        <v>173</v>
      </c>
      <c r="AO76" s="31" t="s">
        <v>8</v>
      </c>
      <c r="AP76" s="43"/>
      <c r="AQ76" s="31"/>
      <c r="AR76" s="31"/>
      <c r="AS76" s="31"/>
      <c r="AT76" s="31"/>
      <c r="AV76" s="127" t="s">
        <v>518</v>
      </c>
      <c r="AW76" s="127" t="s">
        <v>518</v>
      </c>
      <c r="AX76" s="127" t="s">
        <v>518</v>
      </c>
      <c r="AY76" s="127" t="s">
        <v>22</v>
      </c>
      <c r="AZ76" s="127" t="s">
        <v>22</v>
      </c>
      <c r="BA76" s="127" t="s">
        <v>22</v>
      </c>
      <c r="BB76" s="127" t="s">
        <v>8</v>
      </c>
      <c r="BC76" s="127" t="s">
        <v>518</v>
      </c>
      <c r="BD76" s="127" t="s">
        <v>8</v>
      </c>
      <c r="BE76" s="127"/>
      <c r="BF76" s="127" t="s">
        <v>8</v>
      </c>
      <c r="BG76" s="127" t="s">
        <v>8</v>
      </c>
      <c r="BH76" s="127" t="s">
        <v>8</v>
      </c>
      <c r="BI76" s="127" t="s">
        <v>8</v>
      </c>
      <c r="BJ76" s="127" t="s">
        <v>8</v>
      </c>
    </row>
    <row r="77" s="2" customFormat="1" ht="22.5" spans="1:62">
      <c r="A77" s="31">
        <f t="shared" si="3"/>
        <v>44</v>
      </c>
      <c r="B77" s="59"/>
      <c r="C77" s="31" t="s">
        <v>530</v>
      </c>
      <c r="D77" s="87" t="s">
        <v>531</v>
      </c>
      <c r="E77" s="31" t="s">
        <v>532</v>
      </c>
      <c r="F77" s="31" t="s">
        <v>141</v>
      </c>
      <c r="G77" s="31" t="s">
        <v>142</v>
      </c>
      <c r="H77" s="31">
        <v>6</v>
      </c>
      <c r="I77" s="43"/>
      <c r="J77" s="31"/>
      <c r="K77" s="31"/>
      <c r="L77" s="31"/>
      <c r="M77" s="31"/>
      <c r="O77" s="127" t="s">
        <v>22</v>
      </c>
      <c r="P77" s="127" t="s">
        <v>22</v>
      </c>
      <c r="Q77" s="127" t="s">
        <v>22</v>
      </c>
      <c r="R77" s="127" t="s">
        <v>22</v>
      </c>
      <c r="S77" s="127" t="s">
        <v>22</v>
      </c>
      <c r="T77" s="127" t="s">
        <v>22</v>
      </c>
      <c r="U77" s="127" t="s">
        <v>8</v>
      </c>
      <c r="V77" s="127" t="s">
        <v>22</v>
      </c>
      <c r="W77" s="127" t="s">
        <v>8</v>
      </c>
      <c r="X77" s="127"/>
      <c r="Y77" s="127" t="s">
        <v>8</v>
      </c>
      <c r="Z77" s="127" t="s">
        <v>8</v>
      </c>
      <c r="AA77" s="127" t="s">
        <v>8</v>
      </c>
      <c r="AB77" s="127" t="s">
        <v>8</v>
      </c>
      <c r="AC77" s="127" t="s">
        <v>8</v>
      </c>
      <c r="AE77" s="70"/>
      <c r="AH77" s="31">
        <f t="shared" si="2"/>
        <v>44</v>
      </c>
      <c r="AI77" s="59"/>
      <c r="AJ77" s="31" t="s">
        <v>530</v>
      </c>
      <c r="AK77" s="87" t="s">
        <v>531</v>
      </c>
      <c r="AL77" s="31" t="s">
        <v>533</v>
      </c>
      <c r="AM77" s="31" t="s">
        <v>141</v>
      </c>
      <c r="AN77" s="31" t="s">
        <v>142</v>
      </c>
      <c r="AO77" s="31">
        <v>6</v>
      </c>
      <c r="AP77" s="43"/>
      <c r="AQ77" s="31"/>
      <c r="AR77" s="31"/>
      <c r="AS77" s="31"/>
      <c r="AT77" s="31"/>
      <c r="AV77" s="127" t="s">
        <v>22</v>
      </c>
      <c r="AW77" s="127" t="s">
        <v>22</v>
      </c>
      <c r="AX77" s="127" t="s">
        <v>22</v>
      </c>
      <c r="AY77" s="127" t="s">
        <v>22</v>
      </c>
      <c r="AZ77" s="127" t="s">
        <v>22</v>
      </c>
      <c r="BA77" s="127" t="s">
        <v>22</v>
      </c>
      <c r="BB77" s="127" t="s">
        <v>8</v>
      </c>
      <c r="BC77" s="127" t="s">
        <v>22</v>
      </c>
      <c r="BD77" s="127" t="s">
        <v>8</v>
      </c>
      <c r="BE77" s="127"/>
      <c r="BF77" s="127" t="s">
        <v>8</v>
      </c>
      <c r="BG77" s="127" t="s">
        <v>8</v>
      </c>
      <c r="BH77" s="127" t="s">
        <v>8</v>
      </c>
      <c r="BI77" s="127" t="s">
        <v>8</v>
      </c>
      <c r="BJ77" s="127" t="s">
        <v>8</v>
      </c>
    </row>
    <row r="78" s="2" customFormat="1" ht="22.5" spans="1:62">
      <c r="A78" s="31">
        <f t="shared" si="3"/>
        <v>45</v>
      </c>
      <c r="B78" s="59"/>
      <c r="C78" s="31" t="s">
        <v>534</v>
      </c>
      <c r="D78" s="87" t="s">
        <v>535</v>
      </c>
      <c r="E78" s="31" t="s">
        <v>536</v>
      </c>
      <c r="F78" s="31" t="s">
        <v>516</v>
      </c>
      <c r="G78" s="31" t="s">
        <v>142</v>
      </c>
      <c r="H78" s="31" t="s">
        <v>8</v>
      </c>
      <c r="I78" s="43"/>
      <c r="J78" s="31"/>
      <c r="K78" s="31"/>
      <c r="L78" s="31"/>
      <c r="M78" s="31"/>
      <c r="O78" s="127" t="s">
        <v>22</v>
      </c>
      <c r="P78" s="127" t="s">
        <v>22</v>
      </c>
      <c r="Q78" s="127" t="s">
        <v>22</v>
      </c>
      <c r="R78" s="127" t="s">
        <v>22</v>
      </c>
      <c r="S78" s="127" t="s">
        <v>22</v>
      </c>
      <c r="T78" s="127" t="s">
        <v>22</v>
      </c>
      <c r="U78" s="127" t="s">
        <v>8</v>
      </c>
      <c r="V78" s="127" t="s">
        <v>22</v>
      </c>
      <c r="W78" s="127" t="s">
        <v>8</v>
      </c>
      <c r="X78" s="127"/>
      <c r="Y78" s="127" t="s">
        <v>8</v>
      </c>
      <c r="Z78" s="127" t="s">
        <v>8</v>
      </c>
      <c r="AA78" s="127" t="s">
        <v>8</v>
      </c>
      <c r="AB78" s="127" t="s">
        <v>8</v>
      </c>
      <c r="AC78" s="127" t="s">
        <v>8</v>
      </c>
      <c r="AE78" s="70"/>
      <c r="AH78" s="31">
        <f>AH76+1</f>
        <v>44</v>
      </c>
      <c r="AI78" s="59"/>
      <c r="AJ78" s="31" t="s">
        <v>534</v>
      </c>
      <c r="AK78" s="87" t="s">
        <v>535</v>
      </c>
      <c r="AL78" s="31" t="s">
        <v>537</v>
      </c>
      <c r="AM78" s="31" t="s">
        <v>516</v>
      </c>
      <c r="AN78" s="31" t="s">
        <v>142</v>
      </c>
      <c r="AO78" s="31" t="s">
        <v>8</v>
      </c>
      <c r="AP78" s="43"/>
      <c r="AQ78" s="31"/>
      <c r="AR78" s="31"/>
      <c r="AS78" s="31"/>
      <c r="AT78" s="31"/>
      <c r="AV78" s="127" t="s">
        <v>22</v>
      </c>
      <c r="AW78" s="127" t="s">
        <v>22</v>
      </c>
      <c r="AX78" s="127" t="s">
        <v>22</v>
      </c>
      <c r="AY78" s="127" t="s">
        <v>22</v>
      </c>
      <c r="AZ78" s="127" t="s">
        <v>22</v>
      </c>
      <c r="BA78" s="127" t="s">
        <v>22</v>
      </c>
      <c r="BB78" s="127" t="s">
        <v>8</v>
      </c>
      <c r="BC78" s="127" t="s">
        <v>22</v>
      </c>
      <c r="BD78" s="127" t="s">
        <v>8</v>
      </c>
      <c r="BE78" s="127"/>
      <c r="BF78" s="127" t="s">
        <v>8</v>
      </c>
      <c r="BG78" s="127" t="s">
        <v>8</v>
      </c>
      <c r="BH78" s="127" t="s">
        <v>8</v>
      </c>
      <c r="BI78" s="127" t="s">
        <v>8</v>
      </c>
      <c r="BJ78" s="127" t="s">
        <v>8</v>
      </c>
    </row>
    <row r="79" s="2" customFormat="1" ht="22.5" spans="1:62">
      <c r="A79" s="84">
        <f t="shared" si="3"/>
        <v>46</v>
      </c>
      <c r="B79" s="34"/>
      <c r="C79" s="33" t="s">
        <v>150</v>
      </c>
      <c r="D79" s="35" t="s">
        <v>151</v>
      </c>
      <c r="E79" s="33" t="s">
        <v>152</v>
      </c>
      <c r="F79" s="33" t="s">
        <v>153</v>
      </c>
      <c r="G79" s="33" t="s">
        <v>154</v>
      </c>
      <c r="H79" s="33" t="s">
        <v>8</v>
      </c>
      <c r="I79" s="45" t="s">
        <v>22</v>
      </c>
      <c r="J79" s="225" t="s">
        <v>155</v>
      </c>
      <c r="K79" s="33"/>
      <c r="L79" s="33"/>
      <c r="M79" s="33" t="s">
        <v>156</v>
      </c>
      <c r="O79" s="127" t="s">
        <v>518</v>
      </c>
      <c r="P79" s="127" t="s">
        <v>518</v>
      </c>
      <c r="Q79" s="127" t="s">
        <v>518</v>
      </c>
      <c r="R79" s="127" t="s">
        <v>8</v>
      </c>
      <c r="S79" s="127" t="s">
        <v>8</v>
      </c>
      <c r="T79" s="127" t="s">
        <v>8</v>
      </c>
      <c r="U79" s="127" t="s">
        <v>8</v>
      </c>
      <c r="V79" s="127" t="s">
        <v>8</v>
      </c>
      <c r="W79" s="127" t="s">
        <v>8</v>
      </c>
      <c r="X79" s="127"/>
      <c r="Y79" s="127" t="s">
        <v>8</v>
      </c>
      <c r="Z79" s="127" t="s">
        <v>8</v>
      </c>
      <c r="AA79" s="127" t="s">
        <v>8</v>
      </c>
      <c r="AB79" s="127" t="s">
        <v>8</v>
      </c>
      <c r="AC79" s="127" t="s">
        <v>8</v>
      </c>
      <c r="AE79" s="70"/>
      <c r="AH79" s="33" t="e">
        <f>#REF!+1</f>
        <v>#REF!</v>
      </c>
      <c r="AI79" s="34"/>
      <c r="AJ79" s="33" t="s">
        <v>150</v>
      </c>
      <c r="AK79" s="35" t="s">
        <v>151</v>
      </c>
      <c r="AL79" s="36" t="s">
        <v>157</v>
      </c>
      <c r="AM79" s="33" t="s">
        <v>153</v>
      </c>
      <c r="AN79" s="33" t="s">
        <v>154</v>
      </c>
      <c r="AO79" s="33" t="s">
        <v>8</v>
      </c>
      <c r="AP79" s="45" t="s">
        <v>22</v>
      </c>
      <c r="AQ79" s="225" t="s">
        <v>155</v>
      </c>
      <c r="AR79" s="33"/>
      <c r="AS79" s="33"/>
      <c r="AT79" s="33" t="s">
        <v>349</v>
      </c>
      <c r="AV79" s="127" t="s">
        <v>518</v>
      </c>
      <c r="AW79" s="127" t="s">
        <v>518</v>
      </c>
      <c r="AX79" s="127" t="s">
        <v>518</v>
      </c>
      <c r="AY79" s="127" t="s">
        <v>8</v>
      </c>
      <c r="AZ79" s="127" t="s">
        <v>8</v>
      </c>
      <c r="BA79" s="127" t="s">
        <v>8</v>
      </c>
      <c r="BB79" s="127" t="s">
        <v>8</v>
      </c>
      <c r="BC79" s="127" t="s">
        <v>8</v>
      </c>
      <c r="BD79" s="127" t="s">
        <v>8</v>
      </c>
      <c r="BE79" s="127"/>
      <c r="BF79" s="127" t="s">
        <v>8</v>
      </c>
      <c r="BG79" s="127" t="s">
        <v>8</v>
      </c>
      <c r="BH79" s="127" t="s">
        <v>8</v>
      </c>
      <c r="BI79" s="127" t="s">
        <v>8</v>
      </c>
      <c r="BJ79" s="127" t="s">
        <v>8</v>
      </c>
    </row>
    <row r="80" s="2" customFormat="1" ht="22.5" spans="1:62">
      <c r="A80" s="33">
        <f t="shared" si="3"/>
        <v>47</v>
      </c>
      <c r="B80" s="34"/>
      <c r="C80" s="33" t="s">
        <v>159</v>
      </c>
      <c r="D80" s="35" t="s">
        <v>160</v>
      </c>
      <c r="E80" s="33" t="s">
        <v>161</v>
      </c>
      <c r="F80" s="33" t="s">
        <v>153</v>
      </c>
      <c r="G80" s="33" t="s">
        <v>162</v>
      </c>
      <c r="H80" s="33"/>
      <c r="I80" s="45" t="s">
        <v>22</v>
      </c>
      <c r="J80" s="33">
        <v>0</v>
      </c>
      <c r="K80" s="33"/>
      <c r="L80" s="33"/>
      <c r="M80" s="33"/>
      <c r="O80" s="127" t="s">
        <v>8</v>
      </c>
      <c r="P80" s="127" t="s">
        <v>8</v>
      </c>
      <c r="Q80" s="127" t="s">
        <v>8</v>
      </c>
      <c r="R80" s="127" t="s">
        <v>8</v>
      </c>
      <c r="S80" s="127" t="s">
        <v>8</v>
      </c>
      <c r="T80" s="127" t="s">
        <v>8</v>
      </c>
      <c r="U80" s="127" t="s">
        <v>8</v>
      </c>
      <c r="V80" s="127" t="s">
        <v>8</v>
      </c>
      <c r="W80" s="127" t="s">
        <v>8</v>
      </c>
      <c r="X80" s="127"/>
      <c r="Y80" s="127" t="s">
        <v>8</v>
      </c>
      <c r="Z80" s="127" t="s">
        <v>8</v>
      </c>
      <c r="AA80" s="127" t="s">
        <v>8</v>
      </c>
      <c r="AB80" s="127" t="s">
        <v>8</v>
      </c>
      <c r="AC80" s="127" t="s">
        <v>8</v>
      </c>
      <c r="AE80" s="70"/>
      <c r="AH80" s="33" t="e">
        <f t="shared" si="2"/>
        <v>#REF!</v>
      </c>
      <c r="AI80" s="34"/>
      <c r="AJ80" s="33" t="s">
        <v>159</v>
      </c>
      <c r="AK80" s="35" t="s">
        <v>160</v>
      </c>
      <c r="AL80" s="33" t="s">
        <v>163</v>
      </c>
      <c r="AM80" s="33" t="s">
        <v>153</v>
      </c>
      <c r="AN80" s="33" t="s">
        <v>162</v>
      </c>
      <c r="AO80" s="33"/>
      <c r="AP80" s="45" t="s">
        <v>22</v>
      </c>
      <c r="AQ80" s="33">
        <v>0</v>
      </c>
      <c r="AR80" s="33"/>
      <c r="AS80" s="33"/>
      <c r="AT80" s="33"/>
      <c r="AV80" s="127" t="s">
        <v>8</v>
      </c>
      <c r="AW80" s="127" t="s">
        <v>8</v>
      </c>
      <c r="AX80" s="127" t="s">
        <v>8</v>
      </c>
      <c r="AY80" s="127" t="s">
        <v>8</v>
      </c>
      <c r="AZ80" s="127" t="s">
        <v>8</v>
      </c>
      <c r="BA80" s="127" t="s">
        <v>8</v>
      </c>
      <c r="BB80" s="127" t="s">
        <v>8</v>
      </c>
      <c r="BC80" s="127" t="s">
        <v>8</v>
      </c>
      <c r="BD80" s="127" t="s">
        <v>8</v>
      </c>
      <c r="BE80" s="127"/>
      <c r="BF80" s="127" t="s">
        <v>8</v>
      </c>
      <c r="BG80" s="127" t="s">
        <v>8</v>
      </c>
      <c r="BH80" s="127" t="s">
        <v>8</v>
      </c>
      <c r="BI80" s="127" t="s">
        <v>8</v>
      </c>
      <c r="BJ80" s="127" t="s">
        <v>8</v>
      </c>
    </row>
    <row r="81" s="2" customFormat="1" spans="1:62">
      <c r="A81" s="33">
        <f t="shared" si="3"/>
        <v>48</v>
      </c>
      <c r="B81" s="34"/>
      <c r="C81" s="33" t="s">
        <v>164</v>
      </c>
      <c r="D81" s="35" t="s">
        <v>165</v>
      </c>
      <c r="E81" s="33"/>
      <c r="F81" s="33" t="s">
        <v>141</v>
      </c>
      <c r="G81" s="33" t="s">
        <v>142</v>
      </c>
      <c r="H81" s="33">
        <v>32</v>
      </c>
      <c r="I81" s="45"/>
      <c r="J81" s="33"/>
      <c r="K81" s="33"/>
      <c r="L81" s="33"/>
      <c r="M81" s="33"/>
      <c r="O81" s="127" t="s">
        <v>8</v>
      </c>
      <c r="P81" s="127" t="s">
        <v>8</v>
      </c>
      <c r="Q81" s="127" t="s">
        <v>8</v>
      </c>
      <c r="R81" s="127" t="s">
        <v>8</v>
      </c>
      <c r="S81" s="127" t="s">
        <v>8</v>
      </c>
      <c r="T81" s="127" t="s">
        <v>8</v>
      </c>
      <c r="U81" s="127" t="s">
        <v>8</v>
      </c>
      <c r="V81" s="127" t="s">
        <v>8</v>
      </c>
      <c r="W81" s="127" t="s">
        <v>8</v>
      </c>
      <c r="X81" s="127"/>
      <c r="Y81" s="127" t="s">
        <v>8</v>
      </c>
      <c r="Z81" s="127" t="s">
        <v>8</v>
      </c>
      <c r="AA81" s="127" t="s">
        <v>8</v>
      </c>
      <c r="AB81" s="127" t="s">
        <v>8</v>
      </c>
      <c r="AC81" s="127" t="s">
        <v>8</v>
      </c>
      <c r="AE81" s="70"/>
      <c r="AH81" s="33" t="e">
        <f t="shared" si="2"/>
        <v>#REF!</v>
      </c>
      <c r="AI81" s="34"/>
      <c r="AJ81" s="33" t="s">
        <v>164</v>
      </c>
      <c r="AK81" s="35" t="s">
        <v>165</v>
      </c>
      <c r="AL81" s="33"/>
      <c r="AM81" s="33" t="s">
        <v>141</v>
      </c>
      <c r="AN81" s="33" t="s">
        <v>142</v>
      </c>
      <c r="AO81" s="36">
        <v>32</v>
      </c>
      <c r="AP81" s="45"/>
      <c r="AQ81" s="33"/>
      <c r="AR81" s="33"/>
      <c r="AS81" s="33"/>
      <c r="AT81" s="33"/>
      <c r="AV81" s="127" t="s">
        <v>8</v>
      </c>
      <c r="AW81" s="127" t="s">
        <v>8</v>
      </c>
      <c r="AX81" s="127" t="s">
        <v>8</v>
      </c>
      <c r="AY81" s="127" t="s">
        <v>8</v>
      </c>
      <c r="AZ81" s="127" t="s">
        <v>8</v>
      </c>
      <c r="BA81" s="127" t="s">
        <v>8</v>
      </c>
      <c r="BB81" s="127" t="s">
        <v>8</v>
      </c>
      <c r="BC81" s="127" t="s">
        <v>8</v>
      </c>
      <c r="BD81" s="127" t="s">
        <v>8</v>
      </c>
      <c r="BE81" s="127"/>
      <c r="BF81" s="127" t="s">
        <v>8</v>
      </c>
      <c r="BG81" s="127" t="s">
        <v>8</v>
      </c>
      <c r="BH81" s="127" t="s">
        <v>8</v>
      </c>
      <c r="BI81" s="127" t="s">
        <v>8</v>
      </c>
      <c r="BJ81" s="127" t="s">
        <v>8</v>
      </c>
    </row>
    <row r="82" s="2" customFormat="1" spans="1:62">
      <c r="A82" s="33">
        <f t="shared" si="3"/>
        <v>49</v>
      </c>
      <c r="B82" s="34"/>
      <c r="C82" s="33" t="s">
        <v>166</v>
      </c>
      <c r="D82" s="35" t="s">
        <v>167</v>
      </c>
      <c r="E82" s="33"/>
      <c r="F82" s="33" t="s">
        <v>153</v>
      </c>
      <c r="G82" s="33" t="s">
        <v>142</v>
      </c>
      <c r="H82" s="33">
        <v>32</v>
      </c>
      <c r="I82" s="45"/>
      <c r="J82" s="33"/>
      <c r="K82" s="33"/>
      <c r="L82" s="33"/>
      <c r="M82" s="33" t="s">
        <v>168</v>
      </c>
      <c r="O82" s="130" t="s">
        <v>22</v>
      </c>
      <c r="P82" s="130" t="s">
        <v>22</v>
      </c>
      <c r="Q82" s="130" t="s">
        <v>22</v>
      </c>
      <c r="R82" s="130" t="s">
        <v>8</v>
      </c>
      <c r="S82" s="130" t="s">
        <v>8</v>
      </c>
      <c r="T82" s="130" t="s">
        <v>8</v>
      </c>
      <c r="U82" s="130" t="s">
        <v>8</v>
      </c>
      <c r="V82" s="130" t="s">
        <v>8</v>
      </c>
      <c r="W82" s="130" t="s">
        <v>8</v>
      </c>
      <c r="X82" s="130"/>
      <c r="Y82" s="130" t="s">
        <v>8</v>
      </c>
      <c r="Z82" s="130" t="s">
        <v>8</v>
      </c>
      <c r="AA82" s="130" t="s">
        <v>8</v>
      </c>
      <c r="AB82" s="130" t="s">
        <v>8</v>
      </c>
      <c r="AC82" s="130" t="s">
        <v>8</v>
      </c>
      <c r="AE82" s="70"/>
      <c r="AH82" s="33" t="e">
        <f t="shared" si="2"/>
        <v>#REF!</v>
      </c>
      <c r="AI82" s="34"/>
      <c r="AJ82" s="33" t="s">
        <v>166</v>
      </c>
      <c r="AK82" s="35" t="s">
        <v>167</v>
      </c>
      <c r="AL82" s="33"/>
      <c r="AM82" s="33" t="s">
        <v>153</v>
      </c>
      <c r="AN82" s="33" t="s">
        <v>142</v>
      </c>
      <c r="AO82" s="33">
        <v>32</v>
      </c>
      <c r="AP82" s="45"/>
      <c r="AQ82" s="33"/>
      <c r="AR82" s="33"/>
      <c r="AS82" s="33"/>
      <c r="AT82" s="33" t="s">
        <v>350</v>
      </c>
      <c r="AV82" s="130" t="s">
        <v>22</v>
      </c>
      <c r="AW82" s="130" t="s">
        <v>22</v>
      </c>
      <c r="AX82" s="130" t="s">
        <v>22</v>
      </c>
      <c r="AY82" s="130" t="s">
        <v>8</v>
      </c>
      <c r="AZ82" s="130" t="s">
        <v>8</v>
      </c>
      <c r="BA82" s="130" t="s">
        <v>8</v>
      </c>
      <c r="BB82" s="130" t="s">
        <v>8</v>
      </c>
      <c r="BC82" s="130" t="s">
        <v>8</v>
      </c>
      <c r="BD82" s="130" t="s">
        <v>8</v>
      </c>
      <c r="BE82" s="130"/>
      <c r="BF82" s="130" t="s">
        <v>8</v>
      </c>
      <c r="BG82" s="130" t="s">
        <v>8</v>
      </c>
      <c r="BH82" s="130" t="s">
        <v>8</v>
      </c>
      <c r="BI82" s="130" t="s">
        <v>8</v>
      </c>
      <c r="BJ82" s="130" t="s">
        <v>8</v>
      </c>
    </row>
    <row r="83" s="2" customFormat="1" spans="1:62">
      <c r="A83" s="33">
        <f t="shared" si="3"/>
        <v>50</v>
      </c>
      <c r="B83" s="34"/>
      <c r="C83" s="36" t="s">
        <v>170</v>
      </c>
      <c r="D83" s="35" t="s">
        <v>171</v>
      </c>
      <c r="E83" s="33"/>
      <c r="F83" s="33" t="s">
        <v>172</v>
      </c>
      <c r="G83" s="33" t="s">
        <v>173</v>
      </c>
      <c r="H83" s="33" t="s">
        <v>8</v>
      </c>
      <c r="I83" s="45" t="s">
        <v>22</v>
      </c>
      <c r="J83" s="33"/>
      <c r="K83" s="33"/>
      <c r="L83" s="33"/>
      <c r="M83" s="33"/>
      <c r="O83" s="130" t="s">
        <v>22</v>
      </c>
      <c r="P83" s="130" t="s">
        <v>22</v>
      </c>
      <c r="Q83" s="130" t="s">
        <v>22</v>
      </c>
      <c r="R83" s="130" t="s">
        <v>8</v>
      </c>
      <c r="S83" s="130" t="s">
        <v>8</v>
      </c>
      <c r="T83" s="130" t="s">
        <v>8</v>
      </c>
      <c r="U83" s="130" t="s">
        <v>8</v>
      </c>
      <c r="V83" s="130" t="s">
        <v>8</v>
      </c>
      <c r="W83" s="130" t="s">
        <v>8</v>
      </c>
      <c r="X83" s="130"/>
      <c r="Y83" s="130" t="s">
        <v>8</v>
      </c>
      <c r="Z83" s="130" t="s">
        <v>8</v>
      </c>
      <c r="AA83" s="130" t="s">
        <v>8</v>
      </c>
      <c r="AB83" s="130" t="s">
        <v>8</v>
      </c>
      <c r="AC83" s="130" t="s">
        <v>8</v>
      </c>
      <c r="AE83" s="70"/>
      <c r="AH83" s="33" t="e">
        <f t="shared" si="2"/>
        <v>#REF!</v>
      </c>
      <c r="AI83" s="34"/>
      <c r="AJ83" s="33" t="s">
        <v>351</v>
      </c>
      <c r="AK83" s="35" t="s">
        <v>171</v>
      </c>
      <c r="AL83" s="33"/>
      <c r="AM83" s="33" t="s">
        <v>172</v>
      </c>
      <c r="AN83" s="33" t="s">
        <v>173</v>
      </c>
      <c r="AO83" s="33" t="s">
        <v>8</v>
      </c>
      <c r="AP83" s="45" t="s">
        <v>22</v>
      </c>
      <c r="AQ83" s="33"/>
      <c r="AR83" s="33"/>
      <c r="AS83" s="33"/>
      <c r="AT83" s="33"/>
      <c r="AV83" s="130" t="s">
        <v>22</v>
      </c>
      <c r="AW83" s="130" t="s">
        <v>22</v>
      </c>
      <c r="AX83" s="130" t="s">
        <v>22</v>
      </c>
      <c r="AY83" s="130" t="s">
        <v>8</v>
      </c>
      <c r="AZ83" s="130" t="s">
        <v>8</v>
      </c>
      <c r="BA83" s="130" t="s">
        <v>8</v>
      </c>
      <c r="BB83" s="130" t="s">
        <v>8</v>
      </c>
      <c r="BC83" s="130" t="s">
        <v>8</v>
      </c>
      <c r="BD83" s="130" t="s">
        <v>8</v>
      </c>
      <c r="BE83" s="130"/>
      <c r="BF83" s="130" t="s">
        <v>8</v>
      </c>
      <c r="BG83" s="130" t="s">
        <v>8</v>
      </c>
      <c r="BH83" s="130" t="s">
        <v>8</v>
      </c>
      <c r="BI83" s="130" t="s">
        <v>8</v>
      </c>
      <c r="BJ83" s="130" t="s">
        <v>8</v>
      </c>
    </row>
    <row r="84" s="2" customFormat="1" spans="1:62">
      <c r="A84" s="33">
        <f t="shared" si="3"/>
        <v>51</v>
      </c>
      <c r="B84" s="34"/>
      <c r="C84" s="33" t="s">
        <v>174</v>
      </c>
      <c r="D84" s="35" t="s">
        <v>175</v>
      </c>
      <c r="E84" s="33"/>
      <c r="F84" s="33" t="s">
        <v>141</v>
      </c>
      <c r="G84" s="33" t="s">
        <v>142</v>
      </c>
      <c r="H84" s="33">
        <v>32</v>
      </c>
      <c r="I84" s="45"/>
      <c r="J84" s="33"/>
      <c r="K84" s="33"/>
      <c r="L84" s="33"/>
      <c r="M84" s="33"/>
      <c r="O84" s="130" t="s">
        <v>22</v>
      </c>
      <c r="P84" s="130" t="s">
        <v>22</v>
      </c>
      <c r="Q84" s="130" t="s">
        <v>22</v>
      </c>
      <c r="R84" s="130" t="s">
        <v>8</v>
      </c>
      <c r="S84" s="130" t="s">
        <v>8</v>
      </c>
      <c r="T84" s="130" t="s">
        <v>8</v>
      </c>
      <c r="U84" s="130" t="s">
        <v>8</v>
      </c>
      <c r="V84" s="130" t="s">
        <v>8</v>
      </c>
      <c r="W84" s="130" t="s">
        <v>8</v>
      </c>
      <c r="X84" s="130"/>
      <c r="Y84" s="130" t="s">
        <v>8</v>
      </c>
      <c r="Z84" s="130" t="s">
        <v>8</v>
      </c>
      <c r="AA84" s="130" t="s">
        <v>8</v>
      </c>
      <c r="AB84" s="130" t="s">
        <v>8</v>
      </c>
      <c r="AC84" s="130" t="s">
        <v>8</v>
      </c>
      <c r="AE84" s="70"/>
      <c r="AH84" s="33" t="e">
        <f t="shared" si="2"/>
        <v>#REF!</v>
      </c>
      <c r="AI84" s="34"/>
      <c r="AJ84" s="36" t="s">
        <v>174</v>
      </c>
      <c r="AK84" s="35" t="s">
        <v>175</v>
      </c>
      <c r="AL84" s="33"/>
      <c r="AM84" s="33" t="s">
        <v>141</v>
      </c>
      <c r="AN84" s="33" t="s">
        <v>142</v>
      </c>
      <c r="AO84" s="36">
        <v>32</v>
      </c>
      <c r="AP84" s="45"/>
      <c r="AQ84" s="33"/>
      <c r="AR84" s="33"/>
      <c r="AS84" s="33"/>
      <c r="AT84" s="33"/>
      <c r="AV84" s="130" t="s">
        <v>22</v>
      </c>
      <c r="AW84" s="130" t="s">
        <v>22</v>
      </c>
      <c r="AX84" s="130" t="s">
        <v>22</v>
      </c>
      <c r="AY84" s="130" t="s">
        <v>8</v>
      </c>
      <c r="AZ84" s="130" t="s">
        <v>8</v>
      </c>
      <c r="BA84" s="130" t="s">
        <v>8</v>
      </c>
      <c r="BB84" s="130" t="s">
        <v>8</v>
      </c>
      <c r="BC84" s="130" t="s">
        <v>8</v>
      </c>
      <c r="BD84" s="130" t="s">
        <v>8</v>
      </c>
      <c r="BE84" s="130"/>
      <c r="BF84" s="130" t="s">
        <v>8</v>
      </c>
      <c r="BG84" s="130" t="s">
        <v>8</v>
      </c>
      <c r="BH84" s="130" t="s">
        <v>8</v>
      </c>
      <c r="BI84" s="130" t="s">
        <v>8</v>
      </c>
      <c r="BJ84" s="130" t="s">
        <v>8</v>
      </c>
    </row>
    <row r="85" s="2" customFormat="1" ht="22.5" spans="1:62">
      <c r="A85" s="33">
        <f t="shared" si="3"/>
        <v>52</v>
      </c>
      <c r="B85" s="34"/>
      <c r="C85" s="33" t="s">
        <v>176</v>
      </c>
      <c r="D85" s="35" t="s">
        <v>177</v>
      </c>
      <c r="E85" s="33" t="s">
        <v>178</v>
      </c>
      <c r="F85" s="33" t="s">
        <v>153</v>
      </c>
      <c r="G85" s="33" t="s">
        <v>142</v>
      </c>
      <c r="H85" s="33">
        <v>32</v>
      </c>
      <c r="I85" s="45"/>
      <c r="J85" s="33"/>
      <c r="K85" s="33"/>
      <c r="L85" s="33"/>
      <c r="M85" s="33" t="s">
        <v>179</v>
      </c>
      <c r="O85" s="130" t="s">
        <v>22</v>
      </c>
      <c r="P85" s="130" t="s">
        <v>22</v>
      </c>
      <c r="Q85" s="130" t="s">
        <v>22</v>
      </c>
      <c r="R85" s="130" t="s">
        <v>8</v>
      </c>
      <c r="S85" s="130" t="s">
        <v>8</v>
      </c>
      <c r="T85" s="130" t="s">
        <v>8</v>
      </c>
      <c r="U85" s="130" t="s">
        <v>8</v>
      </c>
      <c r="V85" s="130" t="s">
        <v>8</v>
      </c>
      <c r="W85" s="130" t="s">
        <v>8</v>
      </c>
      <c r="X85" s="130"/>
      <c r="Y85" s="130" t="s">
        <v>8</v>
      </c>
      <c r="Z85" s="130" t="s">
        <v>8</v>
      </c>
      <c r="AA85" s="130" t="s">
        <v>8</v>
      </c>
      <c r="AB85" s="130" t="s">
        <v>8</v>
      </c>
      <c r="AC85" s="130" t="s">
        <v>8</v>
      </c>
      <c r="AE85" s="70"/>
      <c r="AH85" s="33" t="e">
        <f t="shared" si="2"/>
        <v>#REF!</v>
      </c>
      <c r="AI85" s="34"/>
      <c r="AJ85" s="33" t="s">
        <v>176</v>
      </c>
      <c r="AK85" s="35" t="s">
        <v>177</v>
      </c>
      <c r="AL85" s="33" t="s">
        <v>180</v>
      </c>
      <c r="AM85" s="33" t="s">
        <v>153</v>
      </c>
      <c r="AN85" s="33" t="s">
        <v>142</v>
      </c>
      <c r="AO85" s="33">
        <v>32</v>
      </c>
      <c r="AP85" s="45"/>
      <c r="AQ85" s="33"/>
      <c r="AR85" s="33"/>
      <c r="AS85" s="33"/>
      <c r="AT85" s="33" t="s">
        <v>352</v>
      </c>
      <c r="AV85" s="130" t="s">
        <v>22</v>
      </c>
      <c r="AW85" s="130" t="s">
        <v>22</v>
      </c>
      <c r="AX85" s="130" t="s">
        <v>22</v>
      </c>
      <c r="AY85" s="130" t="s">
        <v>8</v>
      </c>
      <c r="AZ85" s="130" t="s">
        <v>8</v>
      </c>
      <c r="BA85" s="130" t="s">
        <v>8</v>
      </c>
      <c r="BB85" s="130" t="s">
        <v>8</v>
      </c>
      <c r="BC85" s="130" t="s">
        <v>8</v>
      </c>
      <c r="BD85" s="130" t="s">
        <v>8</v>
      </c>
      <c r="BE85" s="130"/>
      <c r="BF85" s="130" t="s">
        <v>8</v>
      </c>
      <c r="BG85" s="130" t="s">
        <v>8</v>
      </c>
      <c r="BH85" s="130" t="s">
        <v>8</v>
      </c>
      <c r="BI85" s="130" t="s">
        <v>8</v>
      </c>
      <c r="BJ85" s="130" t="s">
        <v>8</v>
      </c>
    </row>
    <row r="86" s="2" customFormat="1" spans="1:62">
      <c r="A86" s="33">
        <f t="shared" si="3"/>
        <v>53</v>
      </c>
      <c r="B86" s="34"/>
      <c r="C86" s="36" t="s">
        <v>182</v>
      </c>
      <c r="D86" s="35" t="s">
        <v>183</v>
      </c>
      <c r="E86" s="33"/>
      <c r="F86" s="33" t="s">
        <v>172</v>
      </c>
      <c r="G86" s="33" t="s">
        <v>173</v>
      </c>
      <c r="H86" s="33" t="s">
        <v>8</v>
      </c>
      <c r="I86" s="45" t="s">
        <v>22</v>
      </c>
      <c r="J86" s="33"/>
      <c r="K86" s="33"/>
      <c r="L86" s="33"/>
      <c r="M86" s="33"/>
      <c r="O86" s="130" t="s">
        <v>8</v>
      </c>
      <c r="P86" s="130" t="s">
        <v>8</v>
      </c>
      <c r="Q86" s="130" t="s">
        <v>8</v>
      </c>
      <c r="R86" s="130" t="s">
        <v>8</v>
      </c>
      <c r="S86" s="130" t="s">
        <v>8</v>
      </c>
      <c r="T86" s="130" t="s">
        <v>8</v>
      </c>
      <c r="U86" s="130" t="s">
        <v>8</v>
      </c>
      <c r="V86" s="130" t="s">
        <v>22</v>
      </c>
      <c r="W86" s="130" t="s">
        <v>22</v>
      </c>
      <c r="X86" s="130" t="s">
        <v>8</v>
      </c>
      <c r="Y86" s="130" t="s">
        <v>8</v>
      </c>
      <c r="Z86" s="130" t="s">
        <v>8</v>
      </c>
      <c r="AA86" s="130" t="s">
        <v>8</v>
      </c>
      <c r="AB86" s="130" t="s">
        <v>8</v>
      </c>
      <c r="AC86" s="130" t="s">
        <v>8</v>
      </c>
      <c r="AE86" s="70"/>
      <c r="AH86" s="33" t="e">
        <f t="shared" si="2"/>
        <v>#REF!</v>
      </c>
      <c r="AI86" s="34"/>
      <c r="AJ86" s="36" t="s">
        <v>353</v>
      </c>
      <c r="AK86" s="35" t="s">
        <v>183</v>
      </c>
      <c r="AL86" s="33"/>
      <c r="AM86" s="33" t="s">
        <v>172</v>
      </c>
      <c r="AN86" s="33" t="s">
        <v>173</v>
      </c>
      <c r="AO86" s="33" t="s">
        <v>8</v>
      </c>
      <c r="AP86" s="45" t="s">
        <v>22</v>
      </c>
      <c r="AQ86" s="33"/>
      <c r="AR86" s="33"/>
      <c r="AS86" s="33"/>
      <c r="AT86" s="33"/>
      <c r="AV86" s="130" t="s">
        <v>8</v>
      </c>
      <c r="AW86" s="130" t="s">
        <v>8</v>
      </c>
      <c r="AX86" s="130" t="s">
        <v>8</v>
      </c>
      <c r="AY86" s="130" t="s">
        <v>8</v>
      </c>
      <c r="AZ86" s="130" t="s">
        <v>8</v>
      </c>
      <c r="BA86" s="130" t="s">
        <v>8</v>
      </c>
      <c r="BB86" s="130" t="s">
        <v>8</v>
      </c>
      <c r="BC86" s="130" t="s">
        <v>22</v>
      </c>
      <c r="BD86" s="130" t="s">
        <v>22</v>
      </c>
      <c r="BE86" s="130" t="s">
        <v>8</v>
      </c>
      <c r="BF86" s="130" t="s">
        <v>8</v>
      </c>
      <c r="BG86" s="130" t="s">
        <v>8</v>
      </c>
      <c r="BH86" s="130" t="s">
        <v>8</v>
      </c>
      <c r="BI86" s="130" t="s">
        <v>8</v>
      </c>
      <c r="BJ86" s="130" t="s">
        <v>8</v>
      </c>
    </row>
    <row r="87" spans="15:62">
      <c r="O87" s="130" t="s">
        <v>8</v>
      </c>
      <c r="P87" s="130" t="s">
        <v>8</v>
      </c>
      <c r="Q87" s="130" t="s">
        <v>8</v>
      </c>
      <c r="R87" s="130" t="s">
        <v>8</v>
      </c>
      <c r="S87" s="130" t="s">
        <v>8</v>
      </c>
      <c r="T87" s="130" t="s">
        <v>8</v>
      </c>
      <c r="U87" s="130" t="s">
        <v>8</v>
      </c>
      <c r="V87" s="130" t="s">
        <v>22</v>
      </c>
      <c r="W87" s="130" t="s">
        <v>22</v>
      </c>
      <c r="X87" s="130" t="s">
        <v>8</v>
      </c>
      <c r="Y87" s="130" t="s">
        <v>8</v>
      </c>
      <c r="Z87" s="130" t="s">
        <v>8</v>
      </c>
      <c r="AA87" s="130" t="s">
        <v>8</v>
      </c>
      <c r="AB87" s="130" t="s">
        <v>8</v>
      </c>
      <c r="AC87" s="130" t="s">
        <v>8</v>
      </c>
      <c r="AV87" s="130" t="s">
        <v>8</v>
      </c>
      <c r="AW87" s="130" t="s">
        <v>8</v>
      </c>
      <c r="AX87" s="130" t="s">
        <v>8</v>
      </c>
      <c r="AY87" s="130" t="s">
        <v>8</v>
      </c>
      <c r="AZ87" s="130" t="s">
        <v>8</v>
      </c>
      <c r="BA87" s="130" t="s">
        <v>8</v>
      </c>
      <c r="BB87" s="130" t="s">
        <v>8</v>
      </c>
      <c r="BC87" s="130" t="s">
        <v>22</v>
      </c>
      <c r="BD87" s="130" t="s">
        <v>22</v>
      </c>
      <c r="BE87" s="130" t="s">
        <v>8</v>
      </c>
      <c r="BF87" s="130" t="s">
        <v>8</v>
      </c>
      <c r="BG87" s="130" t="s">
        <v>8</v>
      </c>
      <c r="BH87" s="130" t="s">
        <v>8</v>
      </c>
      <c r="BI87" s="130" t="s">
        <v>8</v>
      </c>
      <c r="BJ87" s="130" t="s">
        <v>8</v>
      </c>
    </row>
    <row r="88" spans="1:62">
      <c r="A88" s="6"/>
      <c r="B88" s="7" t="s">
        <v>15</v>
      </c>
      <c r="C88" s="8" t="s">
        <v>36</v>
      </c>
      <c r="D88" s="9"/>
      <c r="E88" s="2" t="s">
        <v>70</v>
      </c>
      <c r="I88" s="37"/>
      <c r="O88" s="130" t="s">
        <v>8</v>
      </c>
      <c r="P88" s="130" t="s">
        <v>8</v>
      </c>
      <c r="Q88" s="130" t="s">
        <v>8</v>
      </c>
      <c r="R88" s="130" t="s">
        <v>8</v>
      </c>
      <c r="S88" s="130" t="s">
        <v>8</v>
      </c>
      <c r="T88" s="130" t="s">
        <v>8</v>
      </c>
      <c r="U88" s="130" t="s">
        <v>8</v>
      </c>
      <c r="V88" s="130" t="s">
        <v>22</v>
      </c>
      <c r="W88" s="130" t="s">
        <v>22</v>
      </c>
      <c r="X88" s="130" t="s">
        <v>8</v>
      </c>
      <c r="Y88" s="130" t="s">
        <v>8</v>
      </c>
      <c r="Z88" s="130" t="s">
        <v>8</v>
      </c>
      <c r="AA88" s="130" t="s">
        <v>8</v>
      </c>
      <c r="AB88" s="130" t="s">
        <v>8</v>
      </c>
      <c r="AC88" s="130" t="s">
        <v>8</v>
      </c>
      <c r="AH88" s="6"/>
      <c r="AI88" s="7" t="s">
        <v>86</v>
      </c>
      <c r="AJ88" s="8" t="s">
        <v>36</v>
      </c>
      <c r="AK88" s="9"/>
      <c r="AL88" s="2" t="s">
        <v>538</v>
      </c>
      <c r="AP88" s="37"/>
      <c r="AV88" s="130" t="s">
        <v>8</v>
      </c>
      <c r="AW88" s="130" t="s">
        <v>8</v>
      </c>
      <c r="AX88" s="130" t="s">
        <v>8</v>
      </c>
      <c r="AY88" s="130" t="s">
        <v>8</v>
      </c>
      <c r="AZ88" s="130" t="s">
        <v>8</v>
      </c>
      <c r="BA88" s="130" t="s">
        <v>8</v>
      </c>
      <c r="BB88" s="130" t="s">
        <v>8</v>
      </c>
      <c r="BC88" s="130" t="s">
        <v>22</v>
      </c>
      <c r="BD88" s="130" t="s">
        <v>22</v>
      </c>
      <c r="BE88" s="130" t="s">
        <v>8</v>
      </c>
      <c r="BF88" s="130" t="s">
        <v>8</v>
      </c>
      <c r="BG88" s="130" t="s">
        <v>8</v>
      </c>
      <c r="BH88" s="130" t="s">
        <v>8</v>
      </c>
      <c r="BI88" s="130" t="s">
        <v>8</v>
      </c>
      <c r="BJ88" s="130" t="s">
        <v>8</v>
      </c>
    </row>
    <row r="89" spans="1:62">
      <c r="A89" s="10"/>
      <c r="B89" s="11" t="s">
        <v>124</v>
      </c>
      <c r="C89" s="8" t="str">
        <f>テーブル一覧!E10</f>
        <v>T_SOD_QT_RECEIVE</v>
      </c>
      <c r="D89" s="9"/>
      <c r="E89" s="2" t="s">
        <v>539</v>
      </c>
      <c r="F89" s="3"/>
      <c r="G89" s="3"/>
      <c r="H89" s="3"/>
      <c r="I89" s="37"/>
      <c r="J89" s="3"/>
      <c r="K89" s="3"/>
      <c r="L89" s="3"/>
      <c r="M89" s="38"/>
      <c r="O89" s="127" t="s">
        <v>8</v>
      </c>
      <c r="P89" s="127" t="s">
        <v>8</v>
      </c>
      <c r="Q89" s="127" t="s">
        <v>8</v>
      </c>
      <c r="R89" s="127" t="s">
        <v>8</v>
      </c>
      <c r="S89" s="127" t="s">
        <v>8</v>
      </c>
      <c r="T89" s="127" t="s">
        <v>8</v>
      </c>
      <c r="U89" s="127" t="s">
        <v>8</v>
      </c>
      <c r="V89" s="127" t="s">
        <v>8</v>
      </c>
      <c r="W89" s="127" t="s">
        <v>8</v>
      </c>
      <c r="X89" s="127"/>
      <c r="Y89" s="127" t="s">
        <v>8</v>
      </c>
      <c r="Z89" s="127" t="s">
        <v>8</v>
      </c>
      <c r="AA89" s="127" t="s">
        <v>8</v>
      </c>
      <c r="AB89" s="127" t="s">
        <v>8</v>
      </c>
      <c r="AC89" s="127" t="s">
        <v>8</v>
      </c>
      <c r="AH89" s="10"/>
      <c r="AI89" s="11" t="s">
        <v>125</v>
      </c>
      <c r="AJ89" s="8" t="str">
        <f>C89</f>
        <v>T_SOD_QT_RECEIVE</v>
      </c>
      <c r="AK89" s="9"/>
      <c r="AL89" s="2" t="s">
        <v>539</v>
      </c>
      <c r="AM89" s="3"/>
      <c r="AN89" s="3"/>
      <c r="AO89" s="3"/>
      <c r="AP89" s="37"/>
      <c r="AQ89" s="3"/>
      <c r="AR89" s="3"/>
      <c r="AS89" s="3"/>
      <c r="AT89" s="38"/>
      <c r="AV89" s="127" t="s">
        <v>8</v>
      </c>
      <c r="AW89" s="127" t="s">
        <v>8</v>
      </c>
      <c r="AX89" s="127" t="s">
        <v>8</v>
      </c>
      <c r="AY89" s="127" t="s">
        <v>8</v>
      </c>
      <c r="AZ89" s="127" t="s">
        <v>8</v>
      </c>
      <c r="BA89" s="127" t="s">
        <v>8</v>
      </c>
      <c r="BB89" s="127" t="s">
        <v>8</v>
      </c>
      <c r="BC89" s="127" t="s">
        <v>8</v>
      </c>
      <c r="BD89" s="127" t="s">
        <v>8</v>
      </c>
      <c r="BE89" s="127"/>
      <c r="BF89" s="127" t="s">
        <v>8</v>
      </c>
      <c r="BG89" s="127" t="s">
        <v>8</v>
      </c>
      <c r="BH89" s="127" t="s">
        <v>8</v>
      </c>
      <c r="BI89" s="127" t="s">
        <v>8</v>
      </c>
      <c r="BJ89" s="127" t="s">
        <v>8</v>
      </c>
    </row>
    <row r="90" ht="22.5" spans="1:62">
      <c r="A90" s="12" t="s">
        <v>0</v>
      </c>
      <c r="B90" s="13"/>
      <c r="C90" s="14" t="s">
        <v>126</v>
      </c>
      <c r="D90" s="15" t="s">
        <v>15</v>
      </c>
      <c r="E90" s="14" t="s">
        <v>16</v>
      </c>
      <c r="F90" s="16" t="s">
        <v>127</v>
      </c>
      <c r="G90" s="14" t="s">
        <v>127</v>
      </c>
      <c r="H90" s="14" t="s">
        <v>128</v>
      </c>
      <c r="I90" s="39" t="s">
        <v>129</v>
      </c>
      <c r="J90" s="14" t="s">
        <v>130</v>
      </c>
      <c r="K90" s="14" t="s">
        <v>131</v>
      </c>
      <c r="L90" s="14" t="s">
        <v>132</v>
      </c>
      <c r="M90" s="14" t="s">
        <v>6</v>
      </c>
      <c r="O90" s="127" t="s">
        <v>8</v>
      </c>
      <c r="P90" s="127" t="s">
        <v>8</v>
      </c>
      <c r="Q90" s="127" t="s">
        <v>8</v>
      </c>
      <c r="R90" s="127" t="s">
        <v>8</v>
      </c>
      <c r="S90" s="127" t="s">
        <v>8</v>
      </c>
      <c r="T90" s="127" t="s">
        <v>8</v>
      </c>
      <c r="U90" s="127" t="s">
        <v>8</v>
      </c>
      <c r="V90" s="127" t="s">
        <v>8</v>
      </c>
      <c r="W90" s="127" t="s">
        <v>8</v>
      </c>
      <c r="X90" s="127"/>
      <c r="Y90" s="127" t="s">
        <v>8</v>
      </c>
      <c r="Z90" s="127" t="s">
        <v>8</v>
      </c>
      <c r="AA90" s="127" t="s">
        <v>8</v>
      </c>
      <c r="AB90" s="127" t="s">
        <v>8</v>
      </c>
      <c r="AC90" s="127" t="s">
        <v>8</v>
      </c>
      <c r="AH90" s="12" t="s">
        <v>0</v>
      </c>
      <c r="AI90" s="13"/>
      <c r="AJ90" s="14" t="s">
        <v>133</v>
      </c>
      <c r="AK90" s="15" t="s">
        <v>86</v>
      </c>
      <c r="AL90" s="14" t="s">
        <v>87</v>
      </c>
      <c r="AM90" s="16" t="s">
        <v>134</v>
      </c>
      <c r="AN90" s="14" t="s">
        <v>134</v>
      </c>
      <c r="AO90" s="14" t="s">
        <v>128</v>
      </c>
      <c r="AP90" s="39" t="s">
        <v>135</v>
      </c>
      <c r="AQ90" s="14" t="s">
        <v>130</v>
      </c>
      <c r="AR90" s="14" t="s">
        <v>136</v>
      </c>
      <c r="AS90" s="14" t="s">
        <v>132</v>
      </c>
      <c r="AT90" s="14" t="s">
        <v>137</v>
      </c>
      <c r="AV90" s="127" t="s">
        <v>8</v>
      </c>
      <c r="AW90" s="127" t="s">
        <v>8</v>
      </c>
      <c r="AX90" s="127" t="s">
        <v>8</v>
      </c>
      <c r="AY90" s="127" t="s">
        <v>8</v>
      </c>
      <c r="AZ90" s="127" t="s">
        <v>8</v>
      </c>
      <c r="BA90" s="127" t="s">
        <v>8</v>
      </c>
      <c r="BB90" s="127" t="s">
        <v>8</v>
      </c>
      <c r="BC90" s="127" t="s">
        <v>8</v>
      </c>
      <c r="BD90" s="127" t="s">
        <v>8</v>
      </c>
      <c r="BE90" s="127"/>
      <c r="BF90" s="127" t="s">
        <v>8</v>
      </c>
      <c r="BG90" s="127" t="s">
        <v>8</v>
      </c>
      <c r="BH90" s="127" t="s">
        <v>8</v>
      </c>
      <c r="BI90" s="127" t="s">
        <v>8</v>
      </c>
      <c r="BJ90" s="127" t="s">
        <v>8</v>
      </c>
    </row>
    <row r="91" s="2" customFormat="1" spans="1:62">
      <c r="A91" s="31">
        <v>1</v>
      </c>
      <c r="B91" s="59"/>
      <c r="C91" s="31" t="s">
        <v>139</v>
      </c>
      <c r="D91" s="87" t="s">
        <v>300</v>
      </c>
      <c r="E91" s="31"/>
      <c r="F91" s="31" t="s">
        <v>301</v>
      </c>
      <c r="G91" s="32" t="s">
        <v>302</v>
      </c>
      <c r="H91" s="31" t="s">
        <v>8</v>
      </c>
      <c r="I91" s="43" t="s">
        <v>22</v>
      </c>
      <c r="J91" s="31"/>
      <c r="K91" s="31" t="s">
        <v>303</v>
      </c>
      <c r="L91" s="31" t="s">
        <v>188</v>
      </c>
      <c r="M91" s="31"/>
      <c r="O91" s="127" t="s">
        <v>8</v>
      </c>
      <c r="P91" s="127" t="s">
        <v>8</v>
      </c>
      <c r="Q91" s="127" t="s">
        <v>8</v>
      </c>
      <c r="R91" s="127" t="s">
        <v>8</v>
      </c>
      <c r="S91" s="127" t="s">
        <v>8</v>
      </c>
      <c r="T91" s="127" t="s">
        <v>8</v>
      </c>
      <c r="U91" s="127" t="s">
        <v>8</v>
      </c>
      <c r="V91" s="127" t="s">
        <v>8</v>
      </c>
      <c r="W91" s="127" t="s">
        <v>8</v>
      </c>
      <c r="X91" s="127"/>
      <c r="Y91" s="127" t="s">
        <v>8</v>
      </c>
      <c r="Z91" s="127" t="s">
        <v>8</v>
      </c>
      <c r="AA91" s="127" t="s">
        <v>8</v>
      </c>
      <c r="AB91" s="127" t="s">
        <v>8</v>
      </c>
      <c r="AC91" s="127" t="s">
        <v>8</v>
      </c>
      <c r="AE91" s="70"/>
      <c r="AH91" s="31">
        <v>1</v>
      </c>
      <c r="AI91" s="59"/>
      <c r="AJ91" s="31" t="s">
        <v>139</v>
      </c>
      <c r="AK91" s="87" t="s">
        <v>300</v>
      </c>
      <c r="AL91" s="31"/>
      <c r="AM91" s="31" t="s">
        <v>301</v>
      </c>
      <c r="AN91" s="79" t="s">
        <v>302</v>
      </c>
      <c r="AO91" s="31" t="s">
        <v>8</v>
      </c>
      <c r="AP91" s="43" t="s">
        <v>22</v>
      </c>
      <c r="AQ91" s="31"/>
      <c r="AR91" s="31" t="s">
        <v>303</v>
      </c>
      <c r="AS91" s="31" t="s">
        <v>188</v>
      </c>
      <c r="AT91" s="31"/>
      <c r="AV91" s="127" t="s">
        <v>8</v>
      </c>
      <c r="AW91" s="127" t="s">
        <v>8</v>
      </c>
      <c r="AX91" s="127" t="s">
        <v>8</v>
      </c>
      <c r="AY91" s="127" t="s">
        <v>8</v>
      </c>
      <c r="AZ91" s="127" t="s">
        <v>8</v>
      </c>
      <c r="BA91" s="127" t="s">
        <v>8</v>
      </c>
      <c r="BB91" s="127" t="s">
        <v>8</v>
      </c>
      <c r="BC91" s="127" t="s">
        <v>8</v>
      </c>
      <c r="BD91" s="127" t="s">
        <v>8</v>
      </c>
      <c r="BE91" s="127"/>
      <c r="BF91" s="127" t="s">
        <v>8</v>
      </c>
      <c r="BG91" s="127" t="s">
        <v>8</v>
      </c>
      <c r="BH91" s="127" t="s">
        <v>8</v>
      </c>
      <c r="BI91" s="127" t="s">
        <v>8</v>
      </c>
      <c r="BJ91" s="127" t="s">
        <v>8</v>
      </c>
    </row>
    <row r="92" s="2" customFormat="1" ht="22.5" spans="1:62">
      <c r="A92" s="31">
        <f>A91+1</f>
        <v>2</v>
      </c>
      <c r="B92" s="59"/>
      <c r="C92" s="31" t="s">
        <v>304</v>
      </c>
      <c r="D92" s="87" t="s">
        <v>540</v>
      </c>
      <c r="E92" s="31" t="s">
        <v>541</v>
      </c>
      <c r="F92" s="31" t="s">
        <v>301</v>
      </c>
      <c r="G92" s="31" t="s">
        <v>306</v>
      </c>
      <c r="H92" s="31" t="s">
        <v>8</v>
      </c>
      <c r="I92" s="43"/>
      <c r="J92" s="31"/>
      <c r="K92" s="31"/>
      <c r="L92" s="31"/>
      <c r="M92" s="31"/>
      <c r="O92" s="127" t="s">
        <v>8</v>
      </c>
      <c r="P92" s="127" t="s">
        <v>8</v>
      </c>
      <c r="Q92" s="127" t="s">
        <v>8</v>
      </c>
      <c r="R92" s="127" t="s">
        <v>8</v>
      </c>
      <c r="S92" s="127" t="s">
        <v>8</v>
      </c>
      <c r="T92" s="127" t="s">
        <v>8</v>
      </c>
      <c r="U92" s="127" t="s">
        <v>8</v>
      </c>
      <c r="V92" s="127" t="s">
        <v>8</v>
      </c>
      <c r="W92" s="127" t="s">
        <v>8</v>
      </c>
      <c r="X92" s="127"/>
      <c r="Y92" s="127" t="s">
        <v>8</v>
      </c>
      <c r="Z92" s="127" t="s">
        <v>8</v>
      </c>
      <c r="AA92" s="127" t="s">
        <v>8</v>
      </c>
      <c r="AB92" s="127" t="s">
        <v>8</v>
      </c>
      <c r="AC92" s="127" t="s">
        <v>8</v>
      </c>
      <c r="AE92" s="70"/>
      <c r="AH92" s="31">
        <f t="shared" ref="AH92:AH95" si="4">AH91+1</f>
        <v>2</v>
      </c>
      <c r="AI92" s="59"/>
      <c r="AJ92" s="31" t="s">
        <v>304</v>
      </c>
      <c r="AK92" s="87" t="s">
        <v>540</v>
      </c>
      <c r="AL92" s="31" t="s">
        <v>542</v>
      </c>
      <c r="AM92" s="31" t="s">
        <v>301</v>
      </c>
      <c r="AN92" s="31" t="s">
        <v>306</v>
      </c>
      <c r="AO92" s="31" t="s">
        <v>8</v>
      </c>
      <c r="AP92" s="43"/>
      <c r="AQ92" s="31"/>
      <c r="AR92" s="31"/>
      <c r="AS92" s="31"/>
      <c r="AT92" s="31"/>
      <c r="AV92" s="127" t="s">
        <v>8</v>
      </c>
      <c r="AW92" s="127" t="s">
        <v>8</v>
      </c>
      <c r="AX92" s="127" t="s">
        <v>8</v>
      </c>
      <c r="AY92" s="127" t="s">
        <v>8</v>
      </c>
      <c r="AZ92" s="127" t="s">
        <v>8</v>
      </c>
      <c r="BA92" s="127" t="s">
        <v>8</v>
      </c>
      <c r="BB92" s="127" t="s">
        <v>8</v>
      </c>
      <c r="BC92" s="127" t="s">
        <v>8</v>
      </c>
      <c r="BD92" s="127" t="s">
        <v>8</v>
      </c>
      <c r="BE92" s="127"/>
      <c r="BF92" s="127" t="s">
        <v>8</v>
      </c>
      <c r="BG92" s="127" t="s">
        <v>8</v>
      </c>
      <c r="BH92" s="127" t="s">
        <v>8</v>
      </c>
      <c r="BI92" s="127" t="s">
        <v>8</v>
      </c>
      <c r="BJ92" s="127" t="s">
        <v>8</v>
      </c>
    </row>
    <row r="93" s="2" customFormat="1" ht="67.5" spans="1:62">
      <c r="A93" s="31">
        <f t="shared" ref="A93:A137" si="5">A92+1</f>
        <v>3</v>
      </c>
      <c r="B93" s="59"/>
      <c r="C93" s="31" t="s">
        <v>344</v>
      </c>
      <c r="D93" s="87" t="s">
        <v>373</v>
      </c>
      <c r="E93" s="31" t="s">
        <v>543</v>
      </c>
      <c r="F93" s="31" t="s">
        <v>153</v>
      </c>
      <c r="G93" s="31" t="s">
        <v>254</v>
      </c>
      <c r="H93" s="31" t="s">
        <v>8</v>
      </c>
      <c r="I93" s="43" t="s">
        <v>22</v>
      </c>
      <c r="J93" s="31">
        <v>0</v>
      </c>
      <c r="K93" s="31"/>
      <c r="L93" s="31" t="s">
        <v>544</v>
      </c>
      <c r="M93" s="31"/>
      <c r="O93" s="127" t="s">
        <v>8</v>
      </c>
      <c r="P93" s="127" t="s">
        <v>8</v>
      </c>
      <c r="Q93" s="127" t="s">
        <v>8</v>
      </c>
      <c r="R93" s="127" t="s">
        <v>8</v>
      </c>
      <c r="S93" s="127" t="s">
        <v>8</v>
      </c>
      <c r="T93" s="127" t="s">
        <v>8</v>
      </c>
      <c r="U93" s="127" t="s">
        <v>8</v>
      </c>
      <c r="V93" s="127" t="s">
        <v>8</v>
      </c>
      <c r="W93" s="127" t="s">
        <v>8</v>
      </c>
      <c r="X93" s="127"/>
      <c r="Y93" s="127" t="s">
        <v>8</v>
      </c>
      <c r="Z93" s="127" t="s">
        <v>8</v>
      </c>
      <c r="AA93" s="127" t="s">
        <v>8</v>
      </c>
      <c r="AB93" s="127" t="s">
        <v>8</v>
      </c>
      <c r="AC93" s="127" t="s">
        <v>8</v>
      </c>
      <c r="AE93" s="70"/>
      <c r="AH93" s="31">
        <f t="shared" si="4"/>
        <v>3</v>
      </c>
      <c r="AI93" s="59"/>
      <c r="AJ93" s="31" t="s">
        <v>344</v>
      </c>
      <c r="AK93" s="87" t="s">
        <v>373</v>
      </c>
      <c r="AL93" s="31" t="s">
        <v>545</v>
      </c>
      <c r="AM93" s="31" t="s">
        <v>153</v>
      </c>
      <c r="AN93" s="31" t="s">
        <v>254</v>
      </c>
      <c r="AO93" s="31" t="s">
        <v>8</v>
      </c>
      <c r="AP93" s="43" t="s">
        <v>22</v>
      </c>
      <c r="AQ93" s="31">
        <v>0</v>
      </c>
      <c r="AR93" s="31"/>
      <c r="AS93" s="31" t="s">
        <v>544</v>
      </c>
      <c r="AT93" s="31"/>
      <c r="AV93" s="127" t="s">
        <v>8</v>
      </c>
      <c r="AW93" s="127" t="s">
        <v>8</v>
      </c>
      <c r="AX93" s="127" t="s">
        <v>8</v>
      </c>
      <c r="AY93" s="127" t="s">
        <v>8</v>
      </c>
      <c r="AZ93" s="127" t="s">
        <v>8</v>
      </c>
      <c r="BA93" s="127" t="s">
        <v>8</v>
      </c>
      <c r="BB93" s="127" t="s">
        <v>8</v>
      </c>
      <c r="BC93" s="127" t="s">
        <v>8</v>
      </c>
      <c r="BD93" s="127" t="s">
        <v>8</v>
      </c>
      <c r="BE93" s="127"/>
      <c r="BF93" s="127" t="s">
        <v>8</v>
      </c>
      <c r="BG93" s="127" t="s">
        <v>8</v>
      </c>
      <c r="BH93" s="127" t="s">
        <v>8</v>
      </c>
      <c r="BI93" s="127" t="s">
        <v>8</v>
      </c>
      <c r="BJ93" s="127" t="s">
        <v>8</v>
      </c>
    </row>
    <row r="94" spans="1:62">
      <c r="A94" s="31">
        <f t="shared" si="5"/>
        <v>4</v>
      </c>
      <c r="B94" s="59"/>
      <c r="C94" s="31" t="s">
        <v>380</v>
      </c>
      <c r="D94" s="87" t="s">
        <v>381</v>
      </c>
      <c r="E94" s="31"/>
      <c r="F94" s="31" t="s">
        <v>141</v>
      </c>
      <c r="G94" s="31" t="s">
        <v>142</v>
      </c>
      <c r="H94" s="31">
        <v>15</v>
      </c>
      <c r="I94" s="43"/>
      <c r="J94" s="31"/>
      <c r="K94" s="31"/>
      <c r="L94" s="31" t="s">
        <v>546</v>
      </c>
      <c r="M94" s="31"/>
      <c r="N94" s="2"/>
      <c r="O94" s="127" t="s">
        <v>8</v>
      </c>
      <c r="P94" s="127" t="s">
        <v>8</v>
      </c>
      <c r="Q94" s="127" t="s">
        <v>8</v>
      </c>
      <c r="R94" s="127" t="s">
        <v>8</v>
      </c>
      <c r="S94" s="127" t="s">
        <v>8</v>
      </c>
      <c r="T94" s="127" t="s">
        <v>8</v>
      </c>
      <c r="U94" s="127" t="s">
        <v>8</v>
      </c>
      <c r="V94" s="127" t="s">
        <v>8</v>
      </c>
      <c r="W94" s="127" t="s">
        <v>8</v>
      </c>
      <c r="X94" s="127"/>
      <c r="Y94" s="127" t="s">
        <v>8</v>
      </c>
      <c r="Z94" s="127" t="s">
        <v>8</v>
      </c>
      <c r="AA94" s="127" t="s">
        <v>8</v>
      </c>
      <c r="AB94" s="127" t="s">
        <v>8</v>
      </c>
      <c r="AC94" s="127" t="s">
        <v>8</v>
      </c>
      <c r="AH94" s="31">
        <f t="shared" si="4"/>
        <v>4</v>
      </c>
      <c r="AI94" s="59"/>
      <c r="AJ94" s="31" t="s">
        <v>380</v>
      </c>
      <c r="AK94" s="87" t="s">
        <v>381</v>
      </c>
      <c r="AL94" s="31"/>
      <c r="AM94" s="31" t="s">
        <v>141</v>
      </c>
      <c r="AN94" s="31" t="s">
        <v>142</v>
      </c>
      <c r="AO94" s="31">
        <v>15</v>
      </c>
      <c r="AP94" s="43"/>
      <c r="AQ94" s="31"/>
      <c r="AR94" s="31"/>
      <c r="AS94" s="31" t="s">
        <v>546</v>
      </c>
      <c r="AT94" s="31"/>
      <c r="AU94" s="2"/>
      <c r="AV94" s="127" t="s">
        <v>8</v>
      </c>
      <c r="AW94" s="127" t="s">
        <v>8</v>
      </c>
      <c r="AX94" s="127" t="s">
        <v>8</v>
      </c>
      <c r="AY94" s="127" t="s">
        <v>8</v>
      </c>
      <c r="AZ94" s="127" t="s">
        <v>8</v>
      </c>
      <c r="BA94" s="127" t="s">
        <v>8</v>
      </c>
      <c r="BB94" s="127" t="s">
        <v>8</v>
      </c>
      <c r="BC94" s="127" t="s">
        <v>8</v>
      </c>
      <c r="BD94" s="127" t="s">
        <v>8</v>
      </c>
      <c r="BE94" s="127"/>
      <c r="BF94" s="127" t="s">
        <v>8</v>
      </c>
      <c r="BG94" s="127" t="s">
        <v>8</v>
      </c>
      <c r="BH94" s="127" t="s">
        <v>8</v>
      </c>
      <c r="BI94" s="127" t="s">
        <v>8</v>
      </c>
      <c r="BJ94" s="127" t="s">
        <v>8</v>
      </c>
    </row>
    <row r="95" spans="1:62">
      <c r="A95" s="31">
        <f t="shared" si="5"/>
        <v>5</v>
      </c>
      <c r="B95" s="59"/>
      <c r="C95" s="31" t="s">
        <v>547</v>
      </c>
      <c r="D95" s="87" t="s">
        <v>548</v>
      </c>
      <c r="E95" s="31" t="s">
        <v>549</v>
      </c>
      <c r="F95" s="31" t="s">
        <v>141</v>
      </c>
      <c r="G95" s="31" t="s">
        <v>142</v>
      </c>
      <c r="H95" s="31">
        <v>1</v>
      </c>
      <c r="I95" s="43"/>
      <c r="J95" s="31"/>
      <c r="K95" s="31"/>
      <c r="L95" s="31"/>
      <c r="M95" s="31"/>
      <c r="N95" s="2"/>
      <c r="O95" s="127" t="s">
        <v>22</v>
      </c>
      <c r="P95" s="127" t="s">
        <v>22</v>
      </c>
      <c r="Q95" s="127" t="s">
        <v>22</v>
      </c>
      <c r="R95" s="127" t="s">
        <v>22</v>
      </c>
      <c r="S95" s="127" t="s">
        <v>22</v>
      </c>
      <c r="T95" s="127" t="s">
        <v>22</v>
      </c>
      <c r="U95" s="127" t="s">
        <v>22</v>
      </c>
      <c r="V95" s="127" t="s">
        <v>22</v>
      </c>
      <c r="W95" s="127" t="s">
        <v>22</v>
      </c>
      <c r="X95" s="127"/>
      <c r="Y95" s="127" t="s">
        <v>22</v>
      </c>
      <c r="Z95" s="127" t="s">
        <v>22</v>
      </c>
      <c r="AA95" s="127" t="s">
        <v>22</v>
      </c>
      <c r="AB95" s="127" t="s">
        <v>22</v>
      </c>
      <c r="AC95" s="127" t="s">
        <v>22</v>
      </c>
      <c r="AH95" s="31">
        <f t="shared" si="4"/>
        <v>5</v>
      </c>
      <c r="AI95" s="59"/>
      <c r="AJ95" s="31" t="s">
        <v>547</v>
      </c>
      <c r="AK95" s="87" t="s">
        <v>548</v>
      </c>
      <c r="AL95" s="31" t="s">
        <v>550</v>
      </c>
      <c r="AM95" s="31" t="s">
        <v>141</v>
      </c>
      <c r="AN95" s="31" t="s">
        <v>142</v>
      </c>
      <c r="AO95" s="31">
        <v>1</v>
      </c>
      <c r="AP95" s="43"/>
      <c r="AQ95" s="31"/>
      <c r="AR95" s="31"/>
      <c r="AS95" s="31"/>
      <c r="AT95" s="31"/>
      <c r="AU95" s="2"/>
      <c r="AV95" s="127" t="s">
        <v>22</v>
      </c>
      <c r="AW95" s="127" t="s">
        <v>22</v>
      </c>
      <c r="AX95" s="127" t="s">
        <v>22</v>
      </c>
      <c r="AY95" s="127" t="s">
        <v>22</v>
      </c>
      <c r="AZ95" s="127" t="s">
        <v>22</v>
      </c>
      <c r="BA95" s="127" t="s">
        <v>22</v>
      </c>
      <c r="BB95" s="127" t="s">
        <v>22</v>
      </c>
      <c r="BC95" s="127" t="s">
        <v>22</v>
      </c>
      <c r="BD95" s="127" t="s">
        <v>22</v>
      </c>
      <c r="BE95" s="127"/>
      <c r="BF95" s="127" t="s">
        <v>22</v>
      </c>
      <c r="BG95" s="127" t="s">
        <v>22</v>
      </c>
      <c r="BH95" s="127" t="s">
        <v>22</v>
      </c>
      <c r="BI95" s="127" t="s">
        <v>22</v>
      </c>
      <c r="BJ95" s="127" t="s">
        <v>22</v>
      </c>
    </row>
    <row r="96" spans="1:62">
      <c r="A96" s="31">
        <f t="shared" si="5"/>
        <v>6</v>
      </c>
      <c r="B96" s="51"/>
      <c r="C96" s="32" t="s">
        <v>413</v>
      </c>
      <c r="D96" s="52" t="s">
        <v>414</v>
      </c>
      <c r="E96" s="32" t="s">
        <v>551</v>
      </c>
      <c r="F96" s="32" t="s">
        <v>301</v>
      </c>
      <c r="G96" s="32" t="s">
        <v>306</v>
      </c>
      <c r="H96" s="32" t="s">
        <v>8</v>
      </c>
      <c r="I96" s="64"/>
      <c r="J96" s="32"/>
      <c r="K96" s="32"/>
      <c r="L96" s="32" t="s">
        <v>552</v>
      </c>
      <c r="M96" s="32"/>
      <c r="N96" s="2"/>
      <c r="O96" s="127" t="s">
        <v>22</v>
      </c>
      <c r="P96" s="127" t="s">
        <v>22</v>
      </c>
      <c r="Q96" s="127" t="s">
        <v>22</v>
      </c>
      <c r="R96" s="127" t="s">
        <v>22</v>
      </c>
      <c r="S96" s="127" t="s">
        <v>22</v>
      </c>
      <c r="T96" s="127" t="s">
        <v>22</v>
      </c>
      <c r="U96" s="127" t="s">
        <v>22</v>
      </c>
      <c r="V96" s="127" t="s">
        <v>22</v>
      </c>
      <c r="W96" s="127" t="s">
        <v>22</v>
      </c>
      <c r="X96" s="127"/>
      <c r="Y96" s="127" t="s">
        <v>22</v>
      </c>
      <c r="Z96" s="127" t="s">
        <v>22</v>
      </c>
      <c r="AA96" s="127" t="s">
        <v>22</v>
      </c>
      <c r="AB96" s="127" t="s">
        <v>22</v>
      </c>
      <c r="AC96" s="127" t="s">
        <v>22</v>
      </c>
      <c r="AH96" s="56">
        <f>AH94+1</f>
        <v>5</v>
      </c>
      <c r="AI96" s="57"/>
      <c r="AJ96" s="56" t="s">
        <v>413</v>
      </c>
      <c r="AK96" s="58" t="s">
        <v>414</v>
      </c>
      <c r="AL96" s="56" t="s">
        <v>551</v>
      </c>
      <c r="AM96" s="56" t="s">
        <v>301</v>
      </c>
      <c r="AN96" s="56" t="s">
        <v>306</v>
      </c>
      <c r="AO96" s="56" t="s">
        <v>8</v>
      </c>
      <c r="AP96" s="66"/>
      <c r="AQ96" s="56"/>
      <c r="AR96" s="56"/>
      <c r="AS96" s="56" t="s">
        <v>552</v>
      </c>
      <c r="AT96" s="56"/>
      <c r="AU96" s="2"/>
      <c r="AV96" s="127" t="s">
        <v>22</v>
      </c>
      <c r="AW96" s="127" t="s">
        <v>22</v>
      </c>
      <c r="AX96" s="127" t="s">
        <v>22</v>
      </c>
      <c r="AY96" s="127" t="s">
        <v>22</v>
      </c>
      <c r="AZ96" s="127" t="s">
        <v>22</v>
      </c>
      <c r="BA96" s="127" t="s">
        <v>22</v>
      </c>
      <c r="BB96" s="127" t="s">
        <v>22</v>
      </c>
      <c r="BC96" s="127" t="s">
        <v>22</v>
      </c>
      <c r="BD96" s="127" t="s">
        <v>22</v>
      </c>
      <c r="BE96" s="127"/>
      <c r="BF96" s="127" t="s">
        <v>22</v>
      </c>
      <c r="BG96" s="127" t="s">
        <v>22</v>
      </c>
      <c r="BH96" s="127" t="s">
        <v>22</v>
      </c>
      <c r="BI96" s="127" t="s">
        <v>22</v>
      </c>
      <c r="BJ96" s="127" t="s">
        <v>22</v>
      </c>
    </row>
    <row r="97" spans="1:62">
      <c r="A97" s="31">
        <f t="shared" si="5"/>
        <v>7</v>
      </c>
      <c r="B97" s="59"/>
      <c r="C97" s="82" t="s">
        <v>307</v>
      </c>
      <c r="D97" s="96" t="s">
        <v>416</v>
      </c>
      <c r="E97" s="31"/>
      <c r="F97" s="31" t="s">
        <v>141</v>
      </c>
      <c r="G97" s="31" t="s">
        <v>142</v>
      </c>
      <c r="H97" s="31">
        <v>13</v>
      </c>
      <c r="I97" s="43"/>
      <c r="J97" s="31"/>
      <c r="K97" s="31"/>
      <c r="L97" s="31"/>
      <c r="M97" s="31"/>
      <c r="N97" s="2"/>
      <c r="O97" s="127" t="s">
        <v>22</v>
      </c>
      <c r="P97" s="127" t="s">
        <v>22</v>
      </c>
      <c r="Q97" s="127" t="s">
        <v>22</v>
      </c>
      <c r="R97" s="127" t="s">
        <v>22</v>
      </c>
      <c r="S97" s="127" t="s">
        <v>22</v>
      </c>
      <c r="T97" s="127" t="s">
        <v>22</v>
      </c>
      <c r="U97" s="127" t="s">
        <v>22</v>
      </c>
      <c r="V97" s="127" t="s">
        <v>22</v>
      </c>
      <c r="W97" s="127" t="s">
        <v>22</v>
      </c>
      <c r="X97" s="127"/>
      <c r="Y97" s="127" t="s">
        <v>22</v>
      </c>
      <c r="Z97" s="127" t="s">
        <v>22</v>
      </c>
      <c r="AA97" s="127" t="s">
        <v>22</v>
      </c>
      <c r="AB97" s="127" t="s">
        <v>22</v>
      </c>
      <c r="AC97" s="127" t="s">
        <v>22</v>
      </c>
      <c r="AH97" s="31">
        <f>AH95+1</f>
        <v>6</v>
      </c>
      <c r="AI97" s="59"/>
      <c r="AJ97" s="82" t="s">
        <v>307</v>
      </c>
      <c r="AK97" s="96" t="s">
        <v>416</v>
      </c>
      <c r="AL97" s="31"/>
      <c r="AM97" s="31" t="s">
        <v>141</v>
      </c>
      <c r="AN97" s="31" t="s">
        <v>142</v>
      </c>
      <c r="AO97" s="31">
        <v>13</v>
      </c>
      <c r="AP97" s="43"/>
      <c r="AQ97" s="31"/>
      <c r="AR97" s="31"/>
      <c r="AS97" s="31"/>
      <c r="AT97" s="31"/>
      <c r="AU97" s="2"/>
      <c r="AV97" s="127" t="s">
        <v>22</v>
      </c>
      <c r="AW97" s="127" t="s">
        <v>22</v>
      </c>
      <c r="AX97" s="127" t="s">
        <v>22</v>
      </c>
      <c r="AY97" s="127" t="s">
        <v>22</v>
      </c>
      <c r="AZ97" s="127" t="s">
        <v>22</v>
      </c>
      <c r="BA97" s="127" t="s">
        <v>22</v>
      </c>
      <c r="BB97" s="127" t="s">
        <v>22</v>
      </c>
      <c r="BC97" s="127" t="s">
        <v>22</v>
      </c>
      <c r="BD97" s="127" t="s">
        <v>22</v>
      </c>
      <c r="BE97" s="127"/>
      <c r="BF97" s="127" t="s">
        <v>22</v>
      </c>
      <c r="BG97" s="127" t="s">
        <v>22</v>
      </c>
      <c r="BH97" s="127" t="s">
        <v>22</v>
      </c>
      <c r="BI97" s="127" t="s">
        <v>22</v>
      </c>
      <c r="BJ97" s="127" t="s">
        <v>22</v>
      </c>
    </row>
    <row r="98" ht="409.5" spans="1:62">
      <c r="A98" s="31">
        <f t="shared" si="5"/>
        <v>8</v>
      </c>
      <c r="B98" s="59" t="s">
        <v>393</v>
      </c>
      <c r="C98" s="31" t="s">
        <v>394</v>
      </c>
      <c r="D98" s="87" t="s">
        <v>395</v>
      </c>
      <c r="E98" s="32" t="s">
        <v>396</v>
      </c>
      <c r="F98" s="31" t="s">
        <v>141</v>
      </c>
      <c r="G98" s="31" t="s">
        <v>142</v>
      </c>
      <c r="H98" s="31">
        <v>5</v>
      </c>
      <c r="I98" s="43"/>
      <c r="J98" s="31"/>
      <c r="K98" s="31"/>
      <c r="L98" s="31"/>
      <c r="M98" s="31"/>
      <c r="N98" s="2"/>
      <c r="O98" s="127" t="s">
        <v>22</v>
      </c>
      <c r="P98" s="127" t="s">
        <v>22</v>
      </c>
      <c r="Q98" s="127" t="s">
        <v>22</v>
      </c>
      <c r="R98" s="127" t="s">
        <v>22</v>
      </c>
      <c r="S98" s="127" t="s">
        <v>22</v>
      </c>
      <c r="T98" s="127" t="s">
        <v>22</v>
      </c>
      <c r="U98" s="127" t="s">
        <v>22</v>
      </c>
      <c r="V98" s="127" t="s">
        <v>22</v>
      </c>
      <c r="W98" s="127" t="s">
        <v>22</v>
      </c>
      <c r="X98" s="127"/>
      <c r="Y98" s="127" t="s">
        <v>22</v>
      </c>
      <c r="Z98" s="127" t="s">
        <v>22</v>
      </c>
      <c r="AA98" s="127" t="s">
        <v>22</v>
      </c>
      <c r="AB98" s="127" t="s">
        <v>22</v>
      </c>
      <c r="AC98" s="127" t="s">
        <v>22</v>
      </c>
      <c r="AH98" s="31">
        <f t="shared" ref="AH98:AH137" si="6">AH97+1</f>
        <v>7</v>
      </c>
      <c r="AI98" s="59"/>
      <c r="AJ98" s="31" t="s">
        <v>394</v>
      </c>
      <c r="AK98" s="87" t="s">
        <v>395</v>
      </c>
      <c r="AL98" s="137" t="s">
        <v>410</v>
      </c>
      <c r="AM98" s="31" t="s">
        <v>141</v>
      </c>
      <c r="AN98" s="31" t="s">
        <v>142</v>
      </c>
      <c r="AO98" s="31">
        <v>5</v>
      </c>
      <c r="AP98" s="43"/>
      <c r="AQ98" s="31"/>
      <c r="AR98" s="31"/>
      <c r="AS98" s="31"/>
      <c r="AT98" s="31"/>
      <c r="AU98" s="2"/>
      <c r="AV98" s="127" t="s">
        <v>22</v>
      </c>
      <c r="AW98" s="127" t="s">
        <v>22</v>
      </c>
      <c r="AX98" s="127" t="s">
        <v>22</v>
      </c>
      <c r="AY98" s="127" t="s">
        <v>22</v>
      </c>
      <c r="AZ98" s="127" t="s">
        <v>22</v>
      </c>
      <c r="BA98" s="127" t="s">
        <v>22</v>
      </c>
      <c r="BB98" s="127" t="s">
        <v>22</v>
      </c>
      <c r="BC98" s="127" t="s">
        <v>22</v>
      </c>
      <c r="BD98" s="127" t="s">
        <v>22</v>
      </c>
      <c r="BE98" s="127"/>
      <c r="BF98" s="127" t="s">
        <v>22</v>
      </c>
      <c r="BG98" s="127" t="s">
        <v>22</v>
      </c>
      <c r="BH98" s="127" t="s">
        <v>22</v>
      </c>
      <c r="BI98" s="127" t="s">
        <v>22</v>
      </c>
      <c r="BJ98" s="127" t="s">
        <v>22</v>
      </c>
    </row>
    <row r="99" spans="1:47">
      <c r="A99" s="31">
        <f t="shared" si="5"/>
        <v>9</v>
      </c>
      <c r="B99" s="59"/>
      <c r="C99" s="31" t="s">
        <v>377</v>
      </c>
      <c r="D99" s="87" t="s">
        <v>553</v>
      </c>
      <c r="E99" s="31"/>
      <c r="F99" s="31" t="s">
        <v>301</v>
      </c>
      <c r="G99" s="32" t="s">
        <v>306</v>
      </c>
      <c r="H99" s="31" t="s">
        <v>8</v>
      </c>
      <c r="I99" s="43"/>
      <c r="J99" s="31"/>
      <c r="K99" s="31"/>
      <c r="L99" s="31"/>
      <c r="M99" s="31"/>
      <c r="N99" s="2"/>
      <c r="AH99" s="31">
        <f t="shared" si="6"/>
        <v>8</v>
      </c>
      <c r="AI99" s="59"/>
      <c r="AJ99" s="31" t="s">
        <v>377</v>
      </c>
      <c r="AK99" s="87" t="s">
        <v>553</v>
      </c>
      <c r="AL99" s="31"/>
      <c r="AM99" s="31" t="s">
        <v>301</v>
      </c>
      <c r="AN99" s="79" t="s">
        <v>306</v>
      </c>
      <c r="AO99" s="31" t="s">
        <v>8</v>
      </c>
      <c r="AP99" s="43"/>
      <c r="AQ99" s="31"/>
      <c r="AR99" s="31"/>
      <c r="AS99" s="31"/>
      <c r="AT99" s="31"/>
      <c r="AU99" s="2"/>
    </row>
    <row r="100" spans="1:47">
      <c r="A100" s="31">
        <f t="shared" si="5"/>
        <v>10</v>
      </c>
      <c r="B100" s="59"/>
      <c r="C100" s="31" t="s">
        <v>554</v>
      </c>
      <c r="D100" s="31" t="s">
        <v>555</v>
      </c>
      <c r="E100" s="31"/>
      <c r="F100" s="31" t="s">
        <v>141</v>
      </c>
      <c r="G100" s="31" t="s">
        <v>142</v>
      </c>
      <c r="H100" s="31">
        <v>6</v>
      </c>
      <c r="I100" s="43"/>
      <c r="J100" s="31"/>
      <c r="K100" s="31"/>
      <c r="L100" s="31" t="s">
        <v>347</v>
      </c>
      <c r="M100" s="31"/>
      <c r="N100" s="2"/>
      <c r="AH100" s="31">
        <f t="shared" si="6"/>
        <v>9</v>
      </c>
      <c r="AI100" s="59"/>
      <c r="AJ100" s="31" t="s">
        <v>554</v>
      </c>
      <c r="AK100" s="31" t="s">
        <v>555</v>
      </c>
      <c r="AL100" s="31"/>
      <c r="AM100" s="31" t="s">
        <v>141</v>
      </c>
      <c r="AN100" s="31" t="s">
        <v>142</v>
      </c>
      <c r="AO100" s="31">
        <v>6</v>
      </c>
      <c r="AP100" s="43"/>
      <c r="AQ100" s="31"/>
      <c r="AR100" s="31"/>
      <c r="AS100" s="31" t="s">
        <v>347</v>
      </c>
      <c r="AT100" s="31"/>
      <c r="AU100" s="2"/>
    </row>
    <row r="101" s="2" customFormat="1" spans="1:62">
      <c r="A101" s="31">
        <f t="shared" si="5"/>
        <v>11</v>
      </c>
      <c r="B101" s="59"/>
      <c r="C101" s="31" t="s">
        <v>556</v>
      </c>
      <c r="D101" s="31" t="s">
        <v>557</v>
      </c>
      <c r="E101" s="31" t="s">
        <v>558</v>
      </c>
      <c r="F101" s="31" t="s">
        <v>141</v>
      </c>
      <c r="G101" s="31" t="s">
        <v>142</v>
      </c>
      <c r="H101" s="31">
        <v>3</v>
      </c>
      <c r="I101" s="43"/>
      <c r="J101" s="31"/>
      <c r="K101" s="31"/>
      <c r="L101" s="31"/>
      <c r="M101" s="31"/>
      <c r="O101" s="5"/>
      <c r="P101" s="5"/>
      <c r="Q101" s="5"/>
      <c r="R101" s="5"/>
      <c r="S101" s="5"/>
      <c r="T101" s="5"/>
      <c r="U101" s="5"/>
      <c r="V101" s="5"/>
      <c r="W101" s="5"/>
      <c r="X101" s="5"/>
      <c r="Y101" s="5"/>
      <c r="Z101" s="5"/>
      <c r="AA101" s="5"/>
      <c r="AB101" s="5"/>
      <c r="AC101" s="5"/>
      <c r="AE101" s="70"/>
      <c r="AH101" s="31">
        <f t="shared" si="6"/>
        <v>10</v>
      </c>
      <c r="AI101" s="59"/>
      <c r="AJ101" s="31" t="s">
        <v>556</v>
      </c>
      <c r="AK101" s="31" t="s">
        <v>557</v>
      </c>
      <c r="AL101" s="31" t="s">
        <v>559</v>
      </c>
      <c r="AM101" s="31" t="s">
        <v>141</v>
      </c>
      <c r="AN101" s="31" t="s">
        <v>142</v>
      </c>
      <c r="AO101" s="31">
        <v>3</v>
      </c>
      <c r="AP101" s="43"/>
      <c r="AQ101" s="31"/>
      <c r="AR101" s="31"/>
      <c r="AS101" s="31"/>
      <c r="AT101" s="31"/>
      <c r="AV101" s="5"/>
      <c r="AW101" s="5"/>
      <c r="AX101" s="5"/>
      <c r="AY101" s="5"/>
      <c r="AZ101" s="5"/>
      <c r="BA101" s="5"/>
      <c r="BB101" s="5"/>
      <c r="BC101" s="5"/>
      <c r="BD101" s="5"/>
      <c r="BE101" s="5"/>
      <c r="BF101" s="5"/>
      <c r="BG101" s="5"/>
      <c r="BH101" s="5"/>
      <c r="BI101" s="5"/>
      <c r="BJ101" s="5"/>
    </row>
    <row r="102" s="2" customFormat="1" ht="22.5" spans="1:62">
      <c r="A102" s="31">
        <f t="shared" si="5"/>
        <v>12</v>
      </c>
      <c r="B102" s="59"/>
      <c r="C102" s="31" t="s">
        <v>420</v>
      </c>
      <c r="D102" s="31" t="s">
        <v>560</v>
      </c>
      <c r="E102" s="31"/>
      <c r="F102" s="31" t="s">
        <v>141</v>
      </c>
      <c r="G102" s="31" t="s">
        <v>142</v>
      </c>
      <c r="H102" s="31">
        <v>11</v>
      </c>
      <c r="I102" s="43"/>
      <c r="J102" s="31"/>
      <c r="K102" s="31"/>
      <c r="L102" s="31"/>
      <c r="M102" s="31" t="s">
        <v>561</v>
      </c>
      <c r="O102" s="5"/>
      <c r="P102" s="5"/>
      <c r="Q102" s="5"/>
      <c r="R102" s="5"/>
      <c r="S102" s="5"/>
      <c r="T102" s="5"/>
      <c r="U102" s="5"/>
      <c r="V102" s="5"/>
      <c r="W102" s="5"/>
      <c r="X102" s="5"/>
      <c r="Y102" s="5"/>
      <c r="Z102" s="5"/>
      <c r="AA102" s="5"/>
      <c r="AB102" s="5"/>
      <c r="AC102" s="5"/>
      <c r="AE102" s="70"/>
      <c r="AH102" s="31">
        <f t="shared" si="6"/>
        <v>11</v>
      </c>
      <c r="AI102" s="59"/>
      <c r="AJ102" s="31" t="s">
        <v>420</v>
      </c>
      <c r="AK102" s="31" t="s">
        <v>560</v>
      </c>
      <c r="AL102" s="31"/>
      <c r="AM102" s="31" t="s">
        <v>141</v>
      </c>
      <c r="AN102" s="31" t="s">
        <v>142</v>
      </c>
      <c r="AO102" s="31">
        <v>11</v>
      </c>
      <c r="AP102" s="43"/>
      <c r="AQ102" s="31"/>
      <c r="AR102" s="31"/>
      <c r="AS102" s="31"/>
      <c r="AT102" s="31" t="s">
        <v>561</v>
      </c>
      <c r="AV102" s="5"/>
      <c r="AW102" s="5"/>
      <c r="AX102" s="5"/>
      <c r="AY102" s="5"/>
      <c r="AZ102" s="5"/>
      <c r="BA102" s="5"/>
      <c r="BB102" s="5"/>
      <c r="BC102" s="5"/>
      <c r="BD102" s="5"/>
      <c r="BE102" s="5"/>
      <c r="BF102" s="5"/>
      <c r="BG102" s="5"/>
      <c r="BH102" s="5"/>
      <c r="BI102" s="5"/>
      <c r="BJ102" s="5"/>
    </row>
    <row r="103" s="2" customFormat="1" ht="22.5" spans="1:46">
      <c r="A103" s="31">
        <f t="shared" si="5"/>
        <v>13</v>
      </c>
      <c r="B103" s="59"/>
      <c r="C103" s="31" t="s">
        <v>424</v>
      </c>
      <c r="D103" s="31" t="s">
        <v>562</v>
      </c>
      <c r="E103" s="31"/>
      <c r="F103" s="31" t="s">
        <v>141</v>
      </c>
      <c r="G103" s="31" t="s">
        <v>142</v>
      </c>
      <c r="H103" s="31">
        <v>11</v>
      </c>
      <c r="I103" s="43"/>
      <c r="J103" s="31"/>
      <c r="K103" s="87"/>
      <c r="L103" s="31"/>
      <c r="M103" s="31"/>
      <c r="AE103" s="70"/>
      <c r="AH103" s="31">
        <f t="shared" si="6"/>
        <v>12</v>
      </c>
      <c r="AI103" s="59"/>
      <c r="AJ103" s="31" t="s">
        <v>424</v>
      </c>
      <c r="AK103" s="31" t="s">
        <v>562</v>
      </c>
      <c r="AL103" s="31"/>
      <c r="AM103" s="31" t="s">
        <v>141</v>
      </c>
      <c r="AN103" s="31" t="s">
        <v>142</v>
      </c>
      <c r="AO103" s="31">
        <v>11</v>
      </c>
      <c r="AP103" s="43"/>
      <c r="AQ103" s="31"/>
      <c r="AR103" s="87"/>
      <c r="AS103" s="31"/>
      <c r="AT103" s="31"/>
    </row>
    <row r="104" s="2" customFormat="1" spans="1:46">
      <c r="A104" s="31">
        <f t="shared" si="5"/>
        <v>14</v>
      </c>
      <c r="B104" s="59"/>
      <c r="C104" s="31" t="s">
        <v>563</v>
      </c>
      <c r="D104" s="31" t="s">
        <v>564</v>
      </c>
      <c r="E104" s="31"/>
      <c r="F104" s="31" t="s">
        <v>141</v>
      </c>
      <c r="G104" s="31" t="s">
        <v>142</v>
      </c>
      <c r="H104" s="31">
        <v>40</v>
      </c>
      <c r="I104" s="43"/>
      <c r="J104" s="31"/>
      <c r="K104" s="31"/>
      <c r="L104" s="31"/>
      <c r="M104" s="31" t="s">
        <v>565</v>
      </c>
      <c r="AE104" s="70"/>
      <c r="AH104" s="31">
        <f t="shared" si="6"/>
        <v>13</v>
      </c>
      <c r="AI104" s="59"/>
      <c r="AJ104" s="31" t="s">
        <v>563</v>
      </c>
      <c r="AK104" s="31" t="s">
        <v>564</v>
      </c>
      <c r="AL104" s="31"/>
      <c r="AM104" s="31" t="s">
        <v>141</v>
      </c>
      <c r="AN104" s="31" t="s">
        <v>142</v>
      </c>
      <c r="AO104" s="31">
        <v>40</v>
      </c>
      <c r="AP104" s="43"/>
      <c r="AQ104" s="31"/>
      <c r="AR104" s="31"/>
      <c r="AS104" s="31"/>
      <c r="AT104" s="31" t="s">
        <v>565</v>
      </c>
    </row>
    <row r="105" s="2" customFormat="1" spans="1:46">
      <c r="A105" s="31">
        <f t="shared" si="5"/>
        <v>15</v>
      </c>
      <c r="B105" s="59"/>
      <c r="C105" s="31" t="s">
        <v>440</v>
      </c>
      <c r="D105" s="31" t="s">
        <v>566</v>
      </c>
      <c r="E105" s="31"/>
      <c r="F105" s="31" t="s">
        <v>141</v>
      </c>
      <c r="G105" s="31" t="s">
        <v>142</v>
      </c>
      <c r="H105" s="31">
        <v>40</v>
      </c>
      <c r="I105" s="43"/>
      <c r="J105" s="31"/>
      <c r="K105" s="31"/>
      <c r="L105" s="31"/>
      <c r="M105" s="31"/>
      <c r="AE105" s="70"/>
      <c r="AH105" s="31">
        <f t="shared" si="6"/>
        <v>14</v>
      </c>
      <c r="AI105" s="59"/>
      <c r="AJ105" s="31" t="s">
        <v>440</v>
      </c>
      <c r="AK105" s="31" t="s">
        <v>566</v>
      </c>
      <c r="AL105" s="31"/>
      <c r="AM105" s="31" t="s">
        <v>141</v>
      </c>
      <c r="AN105" s="31" t="s">
        <v>142</v>
      </c>
      <c r="AO105" s="31">
        <v>40</v>
      </c>
      <c r="AP105" s="43"/>
      <c r="AQ105" s="31"/>
      <c r="AR105" s="31"/>
      <c r="AS105" s="31"/>
      <c r="AT105" s="31"/>
    </row>
    <row r="106" s="2" customFormat="1" spans="1:62">
      <c r="A106" s="31">
        <f t="shared" si="5"/>
        <v>16</v>
      </c>
      <c r="B106" s="59"/>
      <c r="C106" s="31" t="s">
        <v>567</v>
      </c>
      <c r="D106" s="31" t="s">
        <v>568</v>
      </c>
      <c r="E106" s="31"/>
      <c r="F106" s="31" t="s">
        <v>141</v>
      </c>
      <c r="G106" s="31" t="s">
        <v>142</v>
      </c>
      <c r="H106" s="31">
        <v>11</v>
      </c>
      <c r="I106" s="43"/>
      <c r="J106" s="31"/>
      <c r="K106" s="31"/>
      <c r="L106" s="31"/>
      <c r="M106" s="31"/>
      <c r="O106" s="5"/>
      <c r="P106" s="5"/>
      <c r="Q106" s="5"/>
      <c r="R106" s="5"/>
      <c r="S106" s="5"/>
      <c r="T106" s="5"/>
      <c r="U106" s="5"/>
      <c r="V106" s="5"/>
      <c r="W106" s="5"/>
      <c r="X106" s="5"/>
      <c r="Y106" s="5"/>
      <c r="Z106" s="5"/>
      <c r="AA106" s="5"/>
      <c r="AB106" s="5"/>
      <c r="AC106" s="5"/>
      <c r="AE106" s="70"/>
      <c r="AH106" s="31">
        <f t="shared" si="6"/>
        <v>15</v>
      </c>
      <c r="AI106" s="59"/>
      <c r="AJ106" s="31" t="s">
        <v>567</v>
      </c>
      <c r="AK106" s="31" t="s">
        <v>568</v>
      </c>
      <c r="AL106" s="31"/>
      <c r="AM106" s="31" t="s">
        <v>141</v>
      </c>
      <c r="AN106" s="31" t="s">
        <v>142</v>
      </c>
      <c r="AO106" s="31">
        <v>11</v>
      </c>
      <c r="AP106" s="43"/>
      <c r="AQ106" s="31"/>
      <c r="AR106" s="31"/>
      <c r="AS106" s="31"/>
      <c r="AT106" s="31"/>
      <c r="AV106" s="5"/>
      <c r="AW106" s="5"/>
      <c r="AX106" s="5"/>
      <c r="AY106" s="5"/>
      <c r="AZ106" s="5"/>
      <c r="BA106" s="5"/>
      <c r="BB106" s="5"/>
      <c r="BC106" s="5"/>
      <c r="BD106" s="5"/>
      <c r="BE106" s="5"/>
      <c r="BF106" s="5"/>
      <c r="BG106" s="5"/>
      <c r="BH106" s="5"/>
      <c r="BI106" s="5"/>
      <c r="BJ106" s="5"/>
    </row>
    <row r="107" s="2" customFormat="1" spans="1:62">
      <c r="A107" s="31">
        <f t="shared" si="5"/>
        <v>17</v>
      </c>
      <c r="B107" s="59"/>
      <c r="C107" s="59" t="s">
        <v>569</v>
      </c>
      <c r="D107" s="31" t="s">
        <v>570</v>
      </c>
      <c r="E107" s="31"/>
      <c r="F107" s="31" t="s">
        <v>141</v>
      </c>
      <c r="G107" s="31" t="s">
        <v>142</v>
      </c>
      <c r="H107" s="31">
        <v>64</v>
      </c>
      <c r="I107" s="43"/>
      <c r="J107" s="31"/>
      <c r="K107" s="31"/>
      <c r="L107" s="31"/>
      <c r="M107" s="31"/>
      <c r="O107" s="5"/>
      <c r="P107" s="5"/>
      <c r="Q107" s="5"/>
      <c r="R107" s="5"/>
      <c r="S107" s="5"/>
      <c r="T107" s="5"/>
      <c r="U107" s="5"/>
      <c r="V107" s="5"/>
      <c r="W107" s="5"/>
      <c r="X107" s="5"/>
      <c r="Y107" s="5"/>
      <c r="Z107" s="5"/>
      <c r="AA107" s="5"/>
      <c r="AB107" s="5"/>
      <c r="AC107" s="5"/>
      <c r="AE107" s="70"/>
      <c r="AH107" s="31">
        <f t="shared" si="6"/>
        <v>16</v>
      </c>
      <c r="AI107" s="59"/>
      <c r="AJ107" s="59" t="s">
        <v>569</v>
      </c>
      <c r="AK107" s="31" t="s">
        <v>570</v>
      </c>
      <c r="AL107" s="31"/>
      <c r="AM107" s="31" t="s">
        <v>141</v>
      </c>
      <c r="AN107" s="31" t="s">
        <v>142</v>
      </c>
      <c r="AO107" s="31">
        <v>64</v>
      </c>
      <c r="AP107" s="43"/>
      <c r="AQ107" s="31"/>
      <c r="AR107" s="31"/>
      <c r="AS107" s="31"/>
      <c r="AT107" s="31"/>
      <c r="AV107" s="5"/>
      <c r="AW107" s="5"/>
      <c r="AX107" s="5"/>
      <c r="AY107" s="5"/>
      <c r="AZ107" s="5"/>
      <c r="BA107" s="5"/>
      <c r="BB107" s="5"/>
      <c r="BC107" s="5"/>
      <c r="BD107" s="5"/>
      <c r="BE107" s="5"/>
      <c r="BF107" s="5"/>
      <c r="BG107" s="5"/>
      <c r="BH107" s="5"/>
      <c r="BI107" s="5"/>
      <c r="BJ107" s="5"/>
    </row>
    <row r="108" s="2" customFormat="1" ht="186" customHeight="1" spans="1:62">
      <c r="A108" s="31">
        <f t="shared" si="5"/>
        <v>18</v>
      </c>
      <c r="B108" s="59"/>
      <c r="C108" s="59" t="s">
        <v>446</v>
      </c>
      <c r="D108" s="31" t="s">
        <v>571</v>
      </c>
      <c r="E108" s="31" t="s">
        <v>572</v>
      </c>
      <c r="F108" s="31" t="s">
        <v>141</v>
      </c>
      <c r="G108" s="31" t="s">
        <v>142</v>
      </c>
      <c r="H108" s="31">
        <v>2</v>
      </c>
      <c r="I108" s="43"/>
      <c r="J108" s="31"/>
      <c r="K108" s="31"/>
      <c r="L108" s="31"/>
      <c r="M108" s="31"/>
      <c r="O108" s="47"/>
      <c r="P108" s="47"/>
      <c r="Q108" s="47"/>
      <c r="R108" s="47"/>
      <c r="S108" s="47"/>
      <c r="T108" s="47"/>
      <c r="U108" s="47"/>
      <c r="V108" s="47"/>
      <c r="W108" s="47"/>
      <c r="X108" s="47"/>
      <c r="Y108" s="47"/>
      <c r="Z108" s="47"/>
      <c r="AA108" s="47"/>
      <c r="AB108" s="47"/>
      <c r="AC108" s="47"/>
      <c r="AE108" s="70"/>
      <c r="AH108" s="31">
        <f t="shared" si="6"/>
        <v>17</v>
      </c>
      <c r="AI108" s="59"/>
      <c r="AJ108" s="59" t="s">
        <v>446</v>
      </c>
      <c r="AK108" s="31" t="s">
        <v>571</v>
      </c>
      <c r="AL108" s="31" t="s">
        <v>573</v>
      </c>
      <c r="AM108" s="31" t="s">
        <v>141</v>
      </c>
      <c r="AN108" s="31" t="s">
        <v>142</v>
      </c>
      <c r="AO108" s="31">
        <v>2</v>
      </c>
      <c r="AP108" s="43"/>
      <c r="AQ108" s="31"/>
      <c r="AR108" s="31"/>
      <c r="AS108" s="31"/>
      <c r="AT108" s="31"/>
      <c r="AV108" s="47"/>
      <c r="AW108" s="47"/>
      <c r="AX108" s="47"/>
      <c r="AY108" s="47"/>
      <c r="AZ108" s="47"/>
      <c r="BA108" s="47"/>
      <c r="BB108" s="47"/>
      <c r="BC108" s="47"/>
      <c r="BD108" s="47"/>
      <c r="BE108" s="47"/>
      <c r="BF108" s="47"/>
      <c r="BG108" s="47"/>
      <c r="BH108" s="47"/>
      <c r="BI108" s="47"/>
      <c r="BJ108" s="47"/>
    </row>
    <row r="109" s="2" customFormat="1" spans="1:62">
      <c r="A109" s="31">
        <f t="shared" si="5"/>
        <v>19</v>
      </c>
      <c r="B109" s="59"/>
      <c r="C109" s="31" t="s">
        <v>437</v>
      </c>
      <c r="D109" s="31" t="s">
        <v>574</v>
      </c>
      <c r="E109" s="31" t="s">
        <v>575</v>
      </c>
      <c r="F109" s="31" t="s">
        <v>141</v>
      </c>
      <c r="G109" s="31" t="s">
        <v>142</v>
      </c>
      <c r="H109" s="31">
        <v>8</v>
      </c>
      <c r="I109" s="43"/>
      <c r="J109" s="31"/>
      <c r="K109" s="87"/>
      <c r="L109" s="31"/>
      <c r="M109" s="31"/>
      <c r="O109" s="5"/>
      <c r="P109" s="5"/>
      <c r="Q109" s="5"/>
      <c r="R109" s="5"/>
      <c r="S109" s="5"/>
      <c r="T109" s="5"/>
      <c r="U109" s="5"/>
      <c r="V109" s="5"/>
      <c r="W109" s="5"/>
      <c r="X109" s="5"/>
      <c r="Y109" s="5"/>
      <c r="Z109" s="5"/>
      <c r="AA109" s="5"/>
      <c r="AB109" s="5"/>
      <c r="AC109" s="5"/>
      <c r="AE109" s="70"/>
      <c r="AH109" s="31">
        <f t="shared" si="6"/>
        <v>18</v>
      </c>
      <c r="AI109" s="59"/>
      <c r="AJ109" s="31" t="s">
        <v>437</v>
      </c>
      <c r="AK109" s="31" t="s">
        <v>574</v>
      </c>
      <c r="AL109" s="31" t="s">
        <v>576</v>
      </c>
      <c r="AM109" s="31" t="s">
        <v>141</v>
      </c>
      <c r="AN109" s="31" t="s">
        <v>142</v>
      </c>
      <c r="AO109" s="31">
        <v>8</v>
      </c>
      <c r="AP109" s="43"/>
      <c r="AQ109" s="31"/>
      <c r="AR109" s="87"/>
      <c r="AS109" s="31"/>
      <c r="AT109" s="31"/>
      <c r="AV109" s="5"/>
      <c r="AW109" s="5"/>
      <c r="AX109" s="5"/>
      <c r="AY109" s="5"/>
      <c r="AZ109" s="5"/>
      <c r="BA109" s="5"/>
      <c r="BB109" s="5"/>
      <c r="BC109" s="5"/>
      <c r="BD109" s="5"/>
      <c r="BE109" s="5"/>
      <c r="BF109" s="5"/>
      <c r="BG109" s="5"/>
      <c r="BH109" s="5"/>
      <c r="BI109" s="5"/>
      <c r="BJ109" s="5"/>
    </row>
    <row r="110" s="2" customFormat="1" spans="1:62">
      <c r="A110" s="31">
        <f t="shared" si="5"/>
        <v>20</v>
      </c>
      <c r="B110" s="59"/>
      <c r="C110" s="31" t="s">
        <v>577</v>
      </c>
      <c r="D110" s="31" t="s">
        <v>578</v>
      </c>
      <c r="E110" s="31" t="s">
        <v>575</v>
      </c>
      <c r="F110" s="31" t="s">
        <v>141</v>
      </c>
      <c r="G110" s="31" t="s">
        <v>142</v>
      </c>
      <c r="H110" s="31">
        <v>8</v>
      </c>
      <c r="I110" s="43"/>
      <c r="J110" s="31"/>
      <c r="K110" s="31"/>
      <c r="L110" s="31"/>
      <c r="M110" s="31"/>
      <c r="O110" s="5"/>
      <c r="P110" s="5"/>
      <c r="Q110" s="5"/>
      <c r="R110" s="5"/>
      <c r="S110" s="5"/>
      <c r="T110" s="5"/>
      <c r="U110" s="5"/>
      <c r="V110" s="5"/>
      <c r="W110" s="5"/>
      <c r="X110" s="5"/>
      <c r="Y110" s="5"/>
      <c r="Z110" s="5"/>
      <c r="AA110" s="5"/>
      <c r="AB110" s="5"/>
      <c r="AC110" s="5"/>
      <c r="AE110" s="70"/>
      <c r="AH110" s="31">
        <f t="shared" si="6"/>
        <v>19</v>
      </c>
      <c r="AI110" s="59"/>
      <c r="AJ110" s="31" t="s">
        <v>577</v>
      </c>
      <c r="AK110" s="31" t="s">
        <v>578</v>
      </c>
      <c r="AL110" s="31" t="s">
        <v>576</v>
      </c>
      <c r="AM110" s="31" t="s">
        <v>141</v>
      </c>
      <c r="AN110" s="31" t="s">
        <v>142</v>
      </c>
      <c r="AO110" s="31">
        <v>8</v>
      </c>
      <c r="AP110" s="43"/>
      <c r="AQ110" s="31"/>
      <c r="AR110" s="31"/>
      <c r="AS110" s="31"/>
      <c r="AT110" s="31"/>
      <c r="AV110" s="5"/>
      <c r="AW110" s="5"/>
      <c r="AX110" s="5"/>
      <c r="AY110" s="5"/>
      <c r="AZ110" s="5"/>
      <c r="BA110" s="5"/>
      <c r="BB110" s="5"/>
      <c r="BC110" s="5"/>
      <c r="BD110" s="5"/>
      <c r="BE110" s="5"/>
      <c r="BF110" s="5"/>
      <c r="BG110" s="5"/>
      <c r="BH110" s="5"/>
      <c r="BI110" s="5"/>
      <c r="BJ110" s="5"/>
    </row>
    <row r="111" s="2" customFormat="1" spans="1:62">
      <c r="A111" s="31">
        <f t="shared" si="5"/>
        <v>21</v>
      </c>
      <c r="B111" s="59"/>
      <c r="C111" s="31" t="s">
        <v>579</v>
      </c>
      <c r="D111" s="31" t="s">
        <v>580</v>
      </c>
      <c r="E111" s="31" t="s">
        <v>575</v>
      </c>
      <c r="F111" s="31" t="s">
        <v>141</v>
      </c>
      <c r="G111" s="31" t="s">
        <v>142</v>
      </c>
      <c r="H111" s="31">
        <v>8</v>
      </c>
      <c r="I111" s="43"/>
      <c r="J111" s="31"/>
      <c r="K111" s="31"/>
      <c r="L111" s="31"/>
      <c r="M111" s="31"/>
      <c r="O111" s="5"/>
      <c r="P111" s="5"/>
      <c r="Q111" s="5"/>
      <c r="R111" s="5"/>
      <c r="S111" s="5"/>
      <c r="T111" s="5"/>
      <c r="U111" s="5"/>
      <c r="V111" s="5"/>
      <c r="W111" s="5"/>
      <c r="X111" s="5"/>
      <c r="Y111" s="5"/>
      <c r="Z111" s="5"/>
      <c r="AA111" s="5"/>
      <c r="AB111" s="5"/>
      <c r="AC111" s="5"/>
      <c r="AE111" s="70"/>
      <c r="AH111" s="31">
        <f t="shared" si="6"/>
        <v>20</v>
      </c>
      <c r="AI111" s="59"/>
      <c r="AJ111" s="31" t="s">
        <v>579</v>
      </c>
      <c r="AK111" s="31" t="s">
        <v>580</v>
      </c>
      <c r="AL111" s="31" t="s">
        <v>576</v>
      </c>
      <c r="AM111" s="31" t="s">
        <v>141</v>
      </c>
      <c r="AN111" s="31" t="s">
        <v>142</v>
      </c>
      <c r="AO111" s="31">
        <v>8</v>
      </c>
      <c r="AP111" s="43"/>
      <c r="AQ111" s="31"/>
      <c r="AR111" s="31"/>
      <c r="AS111" s="31"/>
      <c r="AT111" s="31"/>
      <c r="AV111" s="5"/>
      <c r="AW111" s="5"/>
      <c r="AX111" s="5"/>
      <c r="AY111" s="5"/>
      <c r="AZ111" s="5"/>
      <c r="BA111" s="5"/>
      <c r="BB111" s="5"/>
      <c r="BC111" s="5"/>
      <c r="BD111" s="5"/>
      <c r="BE111" s="5"/>
      <c r="BF111" s="5"/>
      <c r="BG111" s="5"/>
      <c r="BH111" s="5"/>
      <c r="BI111" s="5"/>
      <c r="BJ111" s="5"/>
    </row>
    <row r="112" s="2" customFormat="1" ht="56.25" spans="1:62">
      <c r="A112" s="31">
        <f t="shared" si="5"/>
        <v>22</v>
      </c>
      <c r="B112" s="59"/>
      <c r="C112" s="31" t="s">
        <v>581</v>
      </c>
      <c r="D112" s="31" t="s">
        <v>582</v>
      </c>
      <c r="E112" s="31" t="s">
        <v>583</v>
      </c>
      <c r="F112" s="31" t="s">
        <v>141</v>
      </c>
      <c r="G112" s="31" t="s">
        <v>142</v>
      </c>
      <c r="H112" s="31">
        <v>1</v>
      </c>
      <c r="I112" s="43"/>
      <c r="J112" s="31"/>
      <c r="K112" s="31"/>
      <c r="L112" s="31"/>
      <c r="M112" s="31"/>
      <c r="O112" s="5"/>
      <c r="P112" s="5"/>
      <c r="Q112" s="5"/>
      <c r="R112" s="5"/>
      <c r="S112" s="5"/>
      <c r="T112" s="5"/>
      <c r="U112" s="5"/>
      <c r="V112" s="5"/>
      <c r="W112" s="5"/>
      <c r="X112" s="5"/>
      <c r="Y112" s="5"/>
      <c r="Z112" s="5"/>
      <c r="AA112" s="5"/>
      <c r="AB112" s="5"/>
      <c r="AC112" s="5"/>
      <c r="AE112" s="70"/>
      <c r="AH112" s="31">
        <f t="shared" si="6"/>
        <v>21</v>
      </c>
      <c r="AI112" s="59"/>
      <c r="AJ112" s="31" t="s">
        <v>581</v>
      </c>
      <c r="AK112" s="31" t="s">
        <v>582</v>
      </c>
      <c r="AL112" s="31" t="s">
        <v>584</v>
      </c>
      <c r="AM112" s="31" t="s">
        <v>141</v>
      </c>
      <c r="AN112" s="31" t="s">
        <v>142</v>
      </c>
      <c r="AO112" s="31">
        <v>1</v>
      </c>
      <c r="AP112" s="43"/>
      <c r="AQ112" s="31"/>
      <c r="AR112" s="31"/>
      <c r="AS112" s="31"/>
      <c r="AT112" s="31"/>
      <c r="AV112" s="5"/>
      <c r="AW112" s="5"/>
      <c r="AX112" s="5"/>
      <c r="AY112" s="5"/>
      <c r="AZ112" s="5"/>
      <c r="BA112" s="5"/>
      <c r="BB112" s="5"/>
      <c r="BC112" s="5"/>
      <c r="BD112" s="5"/>
      <c r="BE112" s="5"/>
      <c r="BF112" s="5"/>
      <c r="BG112" s="5"/>
      <c r="BH112" s="5"/>
      <c r="BI112" s="5"/>
      <c r="BJ112" s="5"/>
    </row>
    <row r="113" s="2" customFormat="1" ht="45" spans="1:46">
      <c r="A113" s="31">
        <f t="shared" si="5"/>
        <v>23</v>
      </c>
      <c r="B113" s="59"/>
      <c r="C113" s="31" t="s">
        <v>585</v>
      </c>
      <c r="D113" s="31" t="s">
        <v>586</v>
      </c>
      <c r="E113" s="31" t="s">
        <v>587</v>
      </c>
      <c r="F113" s="31" t="s">
        <v>141</v>
      </c>
      <c r="G113" s="31" t="s">
        <v>142</v>
      </c>
      <c r="H113" s="31">
        <v>1</v>
      </c>
      <c r="I113" s="43"/>
      <c r="J113" s="31"/>
      <c r="K113" s="31"/>
      <c r="L113" s="31"/>
      <c r="M113" s="31"/>
      <c r="AE113" s="70"/>
      <c r="AH113" s="31">
        <f t="shared" si="6"/>
        <v>22</v>
      </c>
      <c r="AI113" s="59"/>
      <c r="AJ113" s="31" t="s">
        <v>585</v>
      </c>
      <c r="AK113" s="31" t="s">
        <v>586</v>
      </c>
      <c r="AL113" s="31" t="s">
        <v>588</v>
      </c>
      <c r="AM113" s="31" t="s">
        <v>141</v>
      </c>
      <c r="AN113" s="31" t="s">
        <v>142</v>
      </c>
      <c r="AO113" s="31">
        <v>1</v>
      </c>
      <c r="AP113" s="43"/>
      <c r="AQ113" s="31"/>
      <c r="AR113" s="31"/>
      <c r="AS113" s="31"/>
      <c r="AT113" s="31"/>
    </row>
    <row r="114" s="2" customFormat="1" spans="1:46">
      <c r="A114" s="31">
        <f t="shared" si="5"/>
        <v>24</v>
      </c>
      <c r="B114" s="59"/>
      <c r="C114" s="31" t="s">
        <v>478</v>
      </c>
      <c r="D114" s="31" t="s">
        <v>479</v>
      </c>
      <c r="E114" s="31"/>
      <c r="F114" s="31" t="s">
        <v>141</v>
      </c>
      <c r="G114" s="31" t="s">
        <v>142</v>
      </c>
      <c r="H114" s="31">
        <v>10</v>
      </c>
      <c r="I114" s="43"/>
      <c r="J114" s="31"/>
      <c r="K114" s="31"/>
      <c r="L114" s="31"/>
      <c r="M114" s="31"/>
      <c r="AE114" s="70"/>
      <c r="AH114" s="31">
        <f t="shared" si="6"/>
        <v>23</v>
      </c>
      <c r="AI114" s="59"/>
      <c r="AJ114" s="31" t="s">
        <v>478</v>
      </c>
      <c r="AK114" s="31" t="s">
        <v>479</v>
      </c>
      <c r="AL114" s="31"/>
      <c r="AM114" s="31" t="s">
        <v>141</v>
      </c>
      <c r="AN114" s="31" t="s">
        <v>142</v>
      </c>
      <c r="AO114" s="31">
        <v>10</v>
      </c>
      <c r="AP114" s="43"/>
      <c r="AQ114" s="31"/>
      <c r="AR114" s="31"/>
      <c r="AS114" s="31"/>
      <c r="AT114" s="31"/>
    </row>
    <row r="115" s="2" customFormat="1" spans="1:46">
      <c r="A115" s="31">
        <f t="shared" si="5"/>
        <v>25</v>
      </c>
      <c r="B115" s="59"/>
      <c r="C115" s="31" t="s">
        <v>482</v>
      </c>
      <c r="D115" s="31" t="s">
        <v>483</v>
      </c>
      <c r="E115" s="31" t="s">
        <v>575</v>
      </c>
      <c r="F115" s="31" t="s">
        <v>141</v>
      </c>
      <c r="G115" s="31" t="s">
        <v>142</v>
      </c>
      <c r="H115" s="31">
        <v>8</v>
      </c>
      <c r="I115" s="43"/>
      <c r="J115" s="31"/>
      <c r="K115" s="31"/>
      <c r="L115" s="31"/>
      <c r="M115" s="31"/>
      <c r="AE115" s="70"/>
      <c r="AH115" s="31">
        <f t="shared" si="6"/>
        <v>24</v>
      </c>
      <c r="AI115" s="59"/>
      <c r="AJ115" s="31" t="s">
        <v>482</v>
      </c>
      <c r="AK115" s="31" t="s">
        <v>483</v>
      </c>
      <c r="AL115" s="31" t="s">
        <v>576</v>
      </c>
      <c r="AM115" s="31" t="s">
        <v>141</v>
      </c>
      <c r="AN115" s="31" t="s">
        <v>142</v>
      </c>
      <c r="AO115" s="31">
        <v>8</v>
      </c>
      <c r="AP115" s="43"/>
      <c r="AQ115" s="31"/>
      <c r="AR115" s="31"/>
      <c r="AS115" s="31"/>
      <c r="AT115" s="31"/>
    </row>
    <row r="116" s="2" customFormat="1" spans="1:46">
      <c r="A116" s="31">
        <f t="shared" si="5"/>
        <v>26</v>
      </c>
      <c r="B116" s="59"/>
      <c r="C116" s="31" t="s">
        <v>589</v>
      </c>
      <c r="D116" s="31" t="s">
        <v>590</v>
      </c>
      <c r="E116" s="31" t="s">
        <v>575</v>
      </c>
      <c r="F116" s="31" t="s">
        <v>141</v>
      </c>
      <c r="G116" s="31" t="s">
        <v>142</v>
      </c>
      <c r="H116" s="31">
        <v>8</v>
      </c>
      <c r="I116" s="43"/>
      <c r="J116" s="31"/>
      <c r="K116" s="31"/>
      <c r="L116" s="31"/>
      <c r="M116" s="31"/>
      <c r="AE116" s="70"/>
      <c r="AH116" s="31">
        <f t="shared" si="6"/>
        <v>25</v>
      </c>
      <c r="AI116" s="59"/>
      <c r="AJ116" s="31" t="s">
        <v>589</v>
      </c>
      <c r="AK116" s="31" t="s">
        <v>590</v>
      </c>
      <c r="AL116" s="31" t="s">
        <v>576</v>
      </c>
      <c r="AM116" s="31" t="s">
        <v>141</v>
      </c>
      <c r="AN116" s="31" t="s">
        <v>142</v>
      </c>
      <c r="AO116" s="31">
        <v>8</v>
      </c>
      <c r="AP116" s="43"/>
      <c r="AQ116" s="31"/>
      <c r="AR116" s="31"/>
      <c r="AS116" s="31"/>
      <c r="AT116" s="31"/>
    </row>
    <row r="117" s="2" customFormat="1" spans="1:46">
      <c r="A117" s="31">
        <f t="shared" si="5"/>
        <v>27</v>
      </c>
      <c r="B117" s="59"/>
      <c r="C117" s="31" t="s">
        <v>591</v>
      </c>
      <c r="D117" s="31" t="s">
        <v>592</v>
      </c>
      <c r="E117" s="31" t="s">
        <v>593</v>
      </c>
      <c r="F117" s="31" t="s">
        <v>141</v>
      </c>
      <c r="G117" s="31" t="s">
        <v>142</v>
      </c>
      <c r="H117" s="31">
        <v>8</v>
      </c>
      <c r="I117" s="43"/>
      <c r="J117" s="31"/>
      <c r="K117" s="31"/>
      <c r="L117" s="31"/>
      <c r="M117" s="31"/>
      <c r="AE117" s="70"/>
      <c r="AH117" s="31">
        <f t="shared" si="6"/>
        <v>26</v>
      </c>
      <c r="AI117" s="59"/>
      <c r="AJ117" s="31" t="s">
        <v>591</v>
      </c>
      <c r="AK117" s="31" t="s">
        <v>592</v>
      </c>
      <c r="AL117" s="31" t="s">
        <v>594</v>
      </c>
      <c r="AM117" s="31" t="s">
        <v>141</v>
      </c>
      <c r="AN117" s="31" t="s">
        <v>142</v>
      </c>
      <c r="AO117" s="31">
        <v>8</v>
      </c>
      <c r="AP117" s="43"/>
      <c r="AQ117" s="31"/>
      <c r="AR117" s="31"/>
      <c r="AS117" s="31"/>
      <c r="AT117" s="31"/>
    </row>
    <row r="118" s="2" customFormat="1" spans="1:46">
      <c r="A118" s="31">
        <f t="shared" si="5"/>
        <v>28</v>
      </c>
      <c r="B118" s="59"/>
      <c r="C118" s="31" t="s">
        <v>426</v>
      </c>
      <c r="D118" s="31" t="s">
        <v>595</v>
      </c>
      <c r="E118" s="31" t="s">
        <v>593</v>
      </c>
      <c r="F118" s="31" t="s">
        <v>141</v>
      </c>
      <c r="G118" s="31" t="s">
        <v>142</v>
      </c>
      <c r="H118" s="31">
        <v>8</v>
      </c>
      <c r="I118" s="43"/>
      <c r="J118" s="31"/>
      <c r="K118" s="31"/>
      <c r="L118" s="31"/>
      <c r="M118" s="31"/>
      <c r="AE118" s="70"/>
      <c r="AH118" s="31">
        <f t="shared" si="6"/>
        <v>27</v>
      </c>
      <c r="AI118" s="59"/>
      <c r="AJ118" s="31" t="s">
        <v>426</v>
      </c>
      <c r="AK118" s="31" t="s">
        <v>595</v>
      </c>
      <c r="AL118" s="31" t="s">
        <v>594</v>
      </c>
      <c r="AM118" s="31" t="s">
        <v>141</v>
      </c>
      <c r="AN118" s="31" t="s">
        <v>142</v>
      </c>
      <c r="AO118" s="31">
        <v>8</v>
      </c>
      <c r="AP118" s="43"/>
      <c r="AQ118" s="31"/>
      <c r="AR118" s="31"/>
      <c r="AS118" s="31"/>
      <c r="AT118" s="31"/>
    </row>
    <row r="119" s="2" customFormat="1" ht="45" spans="1:46">
      <c r="A119" s="31">
        <f t="shared" si="5"/>
        <v>29</v>
      </c>
      <c r="B119" s="59"/>
      <c r="C119" s="31" t="s">
        <v>596</v>
      </c>
      <c r="D119" s="31" t="s">
        <v>597</v>
      </c>
      <c r="E119" s="31" t="s">
        <v>598</v>
      </c>
      <c r="F119" s="31" t="s">
        <v>141</v>
      </c>
      <c r="G119" s="31" t="s">
        <v>142</v>
      </c>
      <c r="H119" s="31">
        <v>1</v>
      </c>
      <c r="I119" s="43"/>
      <c r="J119" s="31"/>
      <c r="K119" s="31"/>
      <c r="L119" s="31"/>
      <c r="M119" s="31"/>
      <c r="AE119" s="70"/>
      <c r="AH119" s="31">
        <f t="shared" si="6"/>
        <v>28</v>
      </c>
      <c r="AI119" s="59"/>
      <c r="AJ119" s="31" t="s">
        <v>596</v>
      </c>
      <c r="AK119" s="31" t="s">
        <v>597</v>
      </c>
      <c r="AL119" s="31" t="s">
        <v>599</v>
      </c>
      <c r="AM119" s="31" t="s">
        <v>141</v>
      </c>
      <c r="AN119" s="31" t="s">
        <v>142</v>
      </c>
      <c r="AO119" s="31">
        <v>1</v>
      </c>
      <c r="AP119" s="43"/>
      <c r="AQ119" s="31"/>
      <c r="AR119" s="31"/>
      <c r="AS119" s="31"/>
      <c r="AT119" s="31"/>
    </row>
    <row r="120" s="2" customFormat="1" ht="22.5" spans="1:46">
      <c r="A120" s="31">
        <f t="shared" si="5"/>
        <v>30</v>
      </c>
      <c r="B120" s="59"/>
      <c r="C120" s="31" t="s">
        <v>429</v>
      </c>
      <c r="D120" s="31" t="s">
        <v>430</v>
      </c>
      <c r="E120" s="32" t="s">
        <v>223</v>
      </c>
      <c r="F120" s="31" t="s">
        <v>141</v>
      </c>
      <c r="G120" s="31" t="s">
        <v>142</v>
      </c>
      <c r="H120" s="31">
        <v>1</v>
      </c>
      <c r="I120" s="43"/>
      <c r="J120" s="31"/>
      <c r="K120" s="31"/>
      <c r="L120" s="31"/>
      <c r="M120" s="31"/>
      <c r="AE120" s="70"/>
      <c r="AH120" s="31">
        <f t="shared" si="6"/>
        <v>29</v>
      </c>
      <c r="AI120" s="59"/>
      <c r="AJ120" s="31" t="s">
        <v>429</v>
      </c>
      <c r="AK120" s="31" t="s">
        <v>430</v>
      </c>
      <c r="AL120" s="32" t="s">
        <v>226</v>
      </c>
      <c r="AM120" s="31" t="s">
        <v>141</v>
      </c>
      <c r="AN120" s="31" t="s">
        <v>142</v>
      </c>
      <c r="AO120" s="31">
        <v>1</v>
      </c>
      <c r="AP120" s="43"/>
      <c r="AQ120" s="31"/>
      <c r="AR120" s="31"/>
      <c r="AS120" s="31"/>
      <c r="AT120" s="31"/>
    </row>
    <row r="121" s="2" customFormat="1" spans="1:46">
      <c r="A121" s="31">
        <f t="shared" si="5"/>
        <v>31</v>
      </c>
      <c r="B121" s="59"/>
      <c r="C121" s="31" t="s">
        <v>600</v>
      </c>
      <c r="D121" s="31" t="s">
        <v>601</v>
      </c>
      <c r="E121" s="31" t="s">
        <v>593</v>
      </c>
      <c r="F121" s="31" t="s">
        <v>141</v>
      </c>
      <c r="G121" s="31" t="s">
        <v>142</v>
      </c>
      <c r="H121" s="31">
        <v>8</v>
      </c>
      <c r="I121" s="43"/>
      <c r="J121" s="31"/>
      <c r="K121" s="31"/>
      <c r="L121" s="31"/>
      <c r="M121" s="31"/>
      <c r="AE121" s="70"/>
      <c r="AH121" s="31">
        <f t="shared" si="6"/>
        <v>30</v>
      </c>
      <c r="AI121" s="59"/>
      <c r="AJ121" s="31" t="s">
        <v>600</v>
      </c>
      <c r="AK121" s="31" t="s">
        <v>601</v>
      </c>
      <c r="AL121" s="31" t="s">
        <v>594</v>
      </c>
      <c r="AM121" s="31" t="s">
        <v>141</v>
      </c>
      <c r="AN121" s="31" t="s">
        <v>142</v>
      </c>
      <c r="AO121" s="31">
        <v>8</v>
      </c>
      <c r="AP121" s="43"/>
      <c r="AQ121" s="31"/>
      <c r="AR121" s="31"/>
      <c r="AS121" s="31"/>
      <c r="AT121" s="31"/>
    </row>
    <row r="122" s="2" customFormat="1" ht="174" customHeight="1" spans="1:46">
      <c r="A122" s="31">
        <f t="shared" si="5"/>
        <v>32</v>
      </c>
      <c r="B122" s="59"/>
      <c r="C122" s="31" t="s">
        <v>602</v>
      </c>
      <c r="D122" s="31" t="s">
        <v>603</v>
      </c>
      <c r="E122" s="31" t="s">
        <v>604</v>
      </c>
      <c r="F122" s="31" t="s">
        <v>141</v>
      </c>
      <c r="G122" s="31" t="s">
        <v>142</v>
      </c>
      <c r="H122" s="31">
        <v>8</v>
      </c>
      <c r="I122" s="43"/>
      <c r="J122" s="31"/>
      <c r="K122" s="31"/>
      <c r="L122" s="31"/>
      <c r="M122" s="31"/>
      <c r="AE122" s="70"/>
      <c r="AH122" s="31">
        <f t="shared" si="6"/>
        <v>31</v>
      </c>
      <c r="AI122" s="59"/>
      <c r="AJ122" s="31" t="s">
        <v>602</v>
      </c>
      <c r="AK122" s="31" t="s">
        <v>603</v>
      </c>
      <c r="AL122" s="31" t="s">
        <v>605</v>
      </c>
      <c r="AM122" s="31" t="s">
        <v>141</v>
      </c>
      <c r="AN122" s="31" t="s">
        <v>142</v>
      </c>
      <c r="AO122" s="31">
        <v>8</v>
      </c>
      <c r="AP122" s="43"/>
      <c r="AQ122" s="31"/>
      <c r="AR122" s="31"/>
      <c r="AS122" s="31"/>
      <c r="AT122" s="31"/>
    </row>
    <row r="123" s="2" customFormat="1" spans="1:46">
      <c r="A123" s="31">
        <f t="shared" si="5"/>
        <v>33</v>
      </c>
      <c r="B123" s="59"/>
      <c r="C123" s="31" t="s">
        <v>606</v>
      </c>
      <c r="D123" s="31" t="s">
        <v>514</v>
      </c>
      <c r="E123" s="31" t="s">
        <v>515</v>
      </c>
      <c r="F123" s="31" t="s">
        <v>516</v>
      </c>
      <c r="G123" s="31" t="s">
        <v>517</v>
      </c>
      <c r="H123" s="31" t="s">
        <v>8</v>
      </c>
      <c r="I123" s="43"/>
      <c r="J123" s="31"/>
      <c r="K123" s="31"/>
      <c r="L123" s="31"/>
      <c r="M123" s="31"/>
      <c r="AE123" s="70"/>
      <c r="AH123" s="31">
        <f t="shared" si="6"/>
        <v>32</v>
      </c>
      <c r="AI123" s="59"/>
      <c r="AJ123" s="31" t="s">
        <v>606</v>
      </c>
      <c r="AK123" s="31" t="s">
        <v>514</v>
      </c>
      <c r="AL123" s="31" t="s">
        <v>515</v>
      </c>
      <c r="AM123" s="31" t="s">
        <v>516</v>
      </c>
      <c r="AN123" s="31" t="s">
        <v>517</v>
      </c>
      <c r="AO123" s="31" t="s">
        <v>8</v>
      </c>
      <c r="AP123" s="43"/>
      <c r="AQ123" s="31"/>
      <c r="AR123" s="31"/>
      <c r="AS123" s="31"/>
      <c r="AT123" s="31"/>
    </row>
    <row r="124" s="2" customFormat="1" spans="1:46">
      <c r="A124" s="31">
        <f t="shared" si="5"/>
        <v>34</v>
      </c>
      <c r="B124" s="59"/>
      <c r="C124" s="31" t="s">
        <v>607</v>
      </c>
      <c r="D124" s="31" t="s">
        <v>520</v>
      </c>
      <c r="E124" s="31" t="s">
        <v>521</v>
      </c>
      <c r="F124" s="31" t="s">
        <v>516</v>
      </c>
      <c r="G124" s="31" t="s">
        <v>517</v>
      </c>
      <c r="H124" s="31" t="s">
        <v>8</v>
      </c>
      <c r="I124" s="43"/>
      <c r="J124" s="31"/>
      <c r="K124" s="31"/>
      <c r="L124" s="31"/>
      <c r="M124" s="31"/>
      <c r="AE124" s="70"/>
      <c r="AH124" s="31">
        <f t="shared" si="6"/>
        <v>33</v>
      </c>
      <c r="AI124" s="59"/>
      <c r="AJ124" s="31" t="s">
        <v>607</v>
      </c>
      <c r="AK124" s="31" t="s">
        <v>520</v>
      </c>
      <c r="AL124" s="31" t="s">
        <v>521</v>
      </c>
      <c r="AM124" s="31" t="s">
        <v>516</v>
      </c>
      <c r="AN124" s="31" t="s">
        <v>517</v>
      </c>
      <c r="AO124" s="31" t="s">
        <v>8</v>
      </c>
      <c r="AP124" s="43"/>
      <c r="AQ124" s="31"/>
      <c r="AR124" s="31"/>
      <c r="AS124" s="31"/>
      <c r="AT124" s="31"/>
    </row>
    <row r="125" s="2" customFormat="1" spans="1:46">
      <c r="A125" s="31">
        <f t="shared" si="5"/>
        <v>35</v>
      </c>
      <c r="B125" s="59"/>
      <c r="C125" s="31" t="s">
        <v>522</v>
      </c>
      <c r="D125" s="87" t="s">
        <v>608</v>
      </c>
      <c r="E125" s="31" t="s">
        <v>609</v>
      </c>
      <c r="F125" s="31" t="s">
        <v>172</v>
      </c>
      <c r="G125" s="31" t="s">
        <v>173</v>
      </c>
      <c r="H125" s="31" t="s">
        <v>8</v>
      </c>
      <c r="I125" s="43"/>
      <c r="J125" s="31"/>
      <c r="K125" s="31"/>
      <c r="L125" s="31"/>
      <c r="M125" s="31"/>
      <c r="AE125" s="70"/>
      <c r="AH125" s="31">
        <f t="shared" si="6"/>
        <v>34</v>
      </c>
      <c r="AI125" s="59"/>
      <c r="AJ125" s="31" t="s">
        <v>522</v>
      </c>
      <c r="AK125" s="87" t="s">
        <v>608</v>
      </c>
      <c r="AL125" s="31" t="s">
        <v>610</v>
      </c>
      <c r="AM125" s="31" t="s">
        <v>172</v>
      </c>
      <c r="AN125" s="31" t="s">
        <v>173</v>
      </c>
      <c r="AO125" s="31" t="s">
        <v>8</v>
      </c>
      <c r="AP125" s="43"/>
      <c r="AQ125" s="31"/>
      <c r="AR125" s="31"/>
      <c r="AS125" s="31"/>
      <c r="AT125" s="31"/>
    </row>
    <row r="126" s="2" customFormat="1" spans="1:46">
      <c r="A126" s="31">
        <f t="shared" si="5"/>
        <v>36</v>
      </c>
      <c r="B126" s="59"/>
      <c r="C126" s="31" t="s">
        <v>524</v>
      </c>
      <c r="D126" s="87" t="s">
        <v>611</v>
      </c>
      <c r="E126" s="31"/>
      <c r="F126" s="31" t="s">
        <v>172</v>
      </c>
      <c r="G126" s="31" t="s">
        <v>173</v>
      </c>
      <c r="H126" s="31" t="s">
        <v>8</v>
      </c>
      <c r="I126" s="43"/>
      <c r="J126" s="31"/>
      <c r="K126" s="31"/>
      <c r="L126" s="31"/>
      <c r="M126" s="31"/>
      <c r="AE126" s="70"/>
      <c r="AH126" s="31">
        <f t="shared" si="6"/>
        <v>35</v>
      </c>
      <c r="AI126" s="59"/>
      <c r="AJ126" s="31" t="s">
        <v>524</v>
      </c>
      <c r="AK126" s="87" t="s">
        <v>611</v>
      </c>
      <c r="AL126" s="31"/>
      <c r="AM126" s="31" t="s">
        <v>172</v>
      </c>
      <c r="AN126" s="31" t="s">
        <v>173</v>
      </c>
      <c r="AO126" s="31" t="s">
        <v>8</v>
      </c>
      <c r="AP126" s="43"/>
      <c r="AQ126" s="31"/>
      <c r="AR126" s="31"/>
      <c r="AS126" s="31"/>
      <c r="AT126" s="31"/>
    </row>
    <row r="127" s="2" customFormat="1" ht="23.15" customHeight="1" spans="1:46">
      <c r="A127" s="31">
        <f t="shared" si="5"/>
        <v>37</v>
      </c>
      <c r="B127" s="59"/>
      <c r="C127" s="31" t="s">
        <v>526</v>
      </c>
      <c r="D127" s="87" t="s">
        <v>527</v>
      </c>
      <c r="E127" s="31" t="s">
        <v>612</v>
      </c>
      <c r="F127" s="31" t="s">
        <v>172</v>
      </c>
      <c r="G127" s="31" t="s">
        <v>142</v>
      </c>
      <c r="H127" s="31" t="s">
        <v>8</v>
      </c>
      <c r="I127" s="43"/>
      <c r="J127" s="31"/>
      <c r="K127" s="31"/>
      <c r="L127" s="31"/>
      <c r="M127" s="31"/>
      <c r="AE127" s="70"/>
      <c r="AH127" s="31">
        <f t="shared" si="6"/>
        <v>36</v>
      </c>
      <c r="AI127" s="59"/>
      <c r="AJ127" s="31" t="s">
        <v>526</v>
      </c>
      <c r="AK127" s="87" t="s">
        <v>527</v>
      </c>
      <c r="AL127" s="31" t="s">
        <v>613</v>
      </c>
      <c r="AM127" s="31" t="s">
        <v>172</v>
      </c>
      <c r="AN127" s="31" t="s">
        <v>142</v>
      </c>
      <c r="AO127" s="31" t="s">
        <v>8</v>
      </c>
      <c r="AP127" s="43"/>
      <c r="AQ127" s="31"/>
      <c r="AR127" s="31"/>
      <c r="AS127" s="31"/>
      <c r="AT127" s="31"/>
    </row>
    <row r="128" s="2" customFormat="1" spans="1:46">
      <c r="A128" s="31">
        <f t="shared" si="5"/>
        <v>38</v>
      </c>
      <c r="B128" s="59"/>
      <c r="C128" s="31" t="s">
        <v>528</v>
      </c>
      <c r="D128" s="87" t="s">
        <v>529</v>
      </c>
      <c r="E128" s="31"/>
      <c r="F128" s="31" t="s">
        <v>172</v>
      </c>
      <c r="G128" s="31" t="s">
        <v>142</v>
      </c>
      <c r="H128" s="31" t="s">
        <v>8</v>
      </c>
      <c r="I128" s="43"/>
      <c r="J128" s="31"/>
      <c r="K128" s="31"/>
      <c r="L128" s="31"/>
      <c r="M128" s="31"/>
      <c r="AE128" s="70"/>
      <c r="AH128" s="31">
        <f t="shared" si="6"/>
        <v>37</v>
      </c>
      <c r="AI128" s="59"/>
      <c r="AJ128" s="31" t="s">
        <v>528</v>
      </c>
      <c r="AK128" s="87" t="s">
        <v>529</v>
      </c>
      <c r="AL128" s="31"/>
      <c r="AM128" s="31" t="s">
        <v>172</v>
      </c>
      <c r="AN128" s="31" t="s">
        <v>142</v>
      </c>
      <c r="AO128" s="31" t="s">
        <v>8</v>
      </c>
      <c r="AP128" s="43"/>
      <c r="AQ128" s="31"/>
      <c r="AR128" s="31"/>
      <c r="AS128" s="31"/>
      <c r="AT128" s="31"/>
    </row>
    <row r="129" s="2" customFormat="1" ht="22.5" spans="1:46">
      <c r="A129" s="31">
        <f t="shared" si="5"/>
        <v>39</v>
      </c>
      <c r="B129" s="59"/>
      <c r="C129" s="31" t="s">
        <v>530</v>
      </c>
      <c r="D129" s="87" t="s">
        <v>614</v>
      </c>
      <c r="E129" s="31" t="s">
        <v>615</v>
      </c>
      <c r="F129" s="31" t="s">
        <v>141</v>
      </c>
      <c r="G129" s="31" t="s">
        <v>142</v>
      </c>
      <c r="H129" s="31">
        <v>6</v>
      </c>
      <c r="I129" s="43"/>
      <c r="J129" s="31"/>
      <c r="K129" s="31"/>
      <c r="L129" s="31"/>
      <c r="M129" s="31"/>
      <c r="AE129" s="70"/>
      <c r="AH129" s="31">
        <f t="shared" si="6"/>
        <v>38</v>
      </c>
      <c r="AI129" s="59"/>
      <c r="AJ129" s="31" t="s">
        <v>530</v>
      </c>
      <c r="AK129" s="87" t="s">
        <v>614</v>
      </c>
      <c r="AL129" s="31" t="s">
        <v>616</v>
      </c>
      <c r="AM129" s="31" t="s">
        <v>141</v>
      </c>
      <c r="AN129" s="31" t="s">
        <v>142</v>
      </c>
      <c r="AO129" s="31">
        <v>6</v>
      </c>
      <c r="AP129" s="43"/>
      <c r="AQ129" s="31"/>
      <c r="AR129" s="31"/>
      <c r="AS129" s="31"/>
      <c r="AT129" s="31"/>
    </row>
    <row r="130" s="2" customFormat="1" ht="22.5" spans="1:46">
      <c r="A130" s="33">
        <f t="shared" si="5"/>
        <v>40</v>
      </c>
      <c r="B130" s="34"/>
      <c r="C130" s="33" t="s">
        <v>150</v>
      </c>
      <c r="D130" s="35" t="s">
        <v>151</v>
      </c>
      <c r="E130" s="33" t="s">
        <v>152</v>
      </c>
      <c r="F130" s="33" t="s">
        <v>153</v>
      </c>
      <c r="G130" s="33" t="s">
        <v>154</v>
      </c>
      <c r="H130" s="33" t="s">
        <v>8</v>
      </c>
      <c r="I130" s="45" t="s">
        <v>22</v>
      </c>
      <c r="J130" s="225" t="s">
        <v>155</v>
      </c>
      <c r="K130" s="33"/>
      <c r="L130" s="33"/>
      <c r="M130" s="33" t="s">
        <v>156</v>
      </c>
      <c r="AE130" s="70"/>
      <c r="AH130" s="33">
        <f t="shared" si="6"/>
        <v>39</v>
      </c>
      <c r="AI130" s="34"/>
      <c r="AJ130" s="33" t="s">
        <v>150</v>
      </c>
      <c r="AK130" s="35" t="s">
        <v>151</v>
      </c>
      <c r="AL130" s="33" t="s">
        <v>157</v>
      </c>
      <c r="AM130" s="33" t="s">
        <v>153</v>
      </c>
      <c r="AN130" s="33" t="s">
        <v>154</v>
      </c>
      <c r="AO130" s="33" t="s">
        <v>8</v>
      </c>
      <c r="AP130" s="45" t="s">
        <v>22</v>
      </c>
      <c r="AQ130" s="225" t="s">
        <v>155</v>
      </c>
      <c r="AR130" s="33"/>
      <c r="AS130" s="33"/>
      <c r="AT130" s="33" t="s">
        <v>617</v>
      </c>
    </row>
    <row r="131" s="2" customFormat="1" ht="22.5" spans="1:46">
      <c r="A131" s="33">
        <f t="shared" si="5"/>
        <v>41</v>
      </c>
      <c r="B131" s="34"/>
      <c r="C131" s="33" t="s">
        <v>159</v>
      </c>
      <c r="D131" s="35" t="s">
        <v>160</v>
      </c>
      <c r="E131" s="33" t="s">
        <v>161</v>
      </c>
      <c r="F131" s="33" t="s">
        <v>153</v>
      </c>
      <c r="G131" s="33" t="s">
        <v>162</v>
      </c>
      <c r="H131" s="33"/>
      <c r="I131" s="45" t="s">
        <v>22</v>
      </c>
      <c r="J131" s="33">
        <v>0</v>
      </c>
      <c r="K131" s="33"/>
      <c r="L131" s="33"/>
      <c r="M131" s="33"/>
      <c r="AE131" s="70"/>
      <c r="AH131" s="33">
        <f t="shared" si="6"/>
        <v>40</v>
      </c>
      <c r="AI131" s="34"/>
      <c r="AJ131" s="33" t="s">
        <v>159</v>
      </c>
      <c r="AK131" s="35" t="s">
        <v>160</v>
      </c>
      <c r="AL131" s="33" t="s">
        <v>163</v>
      </c>
      <c r="AM131" s="33" t="s">
        <v>153</v>
      </c>
      <c r="AN131" s="33" t="s">
        <v>162</v>
      </c>
      <c r="AO131" s="33"/>
      <c r="AP131" s="45" t="s">
        <v>22</v>
      </c>
      <c r="AQ131" s="33">
        <v>0</v>
      </c>
      <c r="AR131" s="33"/>
      <c r="AS131" s="33"/>
      <c r="AT131" s="33"/>
    </row>
    <row r="132" s="2" customFormat="1" spans="1:46">
      <c r="A132" s="33">
        <f t="shared" si="5"/>
        <v>42</v>
      </c>
      <c r="B132" s="34"/>
      <c r="C132" s="33" t="s">
        <v>164</v>
      </c>
      <c r="D132" s="35" t="s">
        <v>165</v>
      </c>
      <c r="E132" s="33"/>
      <c r="F132" s="33" t="s">
        <v>141</v>
      </c>
      <c r="G132" s="33" t="s">
        <v>142</v>
      </c>
      <c r="H132" s="33">
        <v>32</v>
      </c>
      <c r="I132" s="45"/>
      <c r="J132" s="33"/>
      <c r="K132" s="33"/>
      <c r="L132" s="33"/>
      <c r="M132" s="33"/>
      <c r="AE132" s="70"/>
      <c r="AH132" s="33">
        <f t="shared" si="6"/>
        <v>41</v>
      </c>
      <c r="AI132" s="34"/>
      <c r="AJ132" s="33" t="s">
        <v>164</v>
      </c>
      <c r="AK132" s="35" t="s">
        <v>165</v>
      </c>
      <c r="AL132" s="33"/>
      <c r="AM132" s="33" t="s">
        <v>141</v>
      </c>
      <c r="AN132" s="33" t="s">
        <v>142</v>
      </c>
      <c r="AO132" s="33">
        <v>32</v>
      </c>
      <c r="AP132" s="45"/>
      <c r="AQ132" s="33"/>
      <c r="AR132" s="33"/>
      <c r="AS132" s="33"/>
      <c r="AT132" s="33"/>
    </row>
    <row r="133" s="2" customFormat="1" spans="1:46">
      <c r="A133" s="33">
        <f t="shared" si="5"/>
        <v>43</v>
      </c>
      <c r="B133" s="34"/>
      <c r="C133" s="33" t="s">
        <v>166</v>
      </c>
      <c r="D133" s="35" t="s">
        <v>167</v>
      </c>
      <c r="E133" s="33"/>
      <c r="F133" s="33" t="s">
        <v>153</v>
      </c>
      <c r="G133" s="33" t="s">
        <v>142</v>
      </c>
      <c r="H133" s="33">
        <v>32</v>
      </c>
      <c r="I133" s="45"/>
      <c r="J133" s="33"/>
      <c r="K133" s="33"/>
      <c r="L133" s="33"/>
      <c r="M133" s="33" t="s">
        <v>168</v>
      </c>
      <c r="AE133" s="70"/>
      <c r="AH133" s="33">
        <f t="shared" si="6"/>
        <v>42</v>
      </c>
      <c r="AI133" s="34"/>
      <c r="AJ133" s="33" t="s">
        <v>166</v>
      </c>
      <c r="AK133" s="35" t="s">
        <v>167</v>
      </c>
      <c r="AL133" s="33"/>
      <c r="AM133" s="33" t="s">
        <v>153</v>
      </c>
      <c r="AN133" s="33" t="s">
        <v>142</v>
      </c>
      <c r="AO133" s="33">
        <v>32</v>
      </c>
      <c r="AP133" s="45"/>
      <c r="AQ133" s="33"/>
      <c r="AR133" s="33"/>
      <c r="AS133" s="33"/>
      <c r="AT133" s="33" t="s">
        <v>350</v>
      </c>
    </row>
    <row r="134" s="2" customFormat="1" spans="1:46">
      <c r="A134" s="33">
        <f t="shared" si="5"/>
        <v>44</v>
      </c>
      <c r="B134" s="34"/>
      <c r="C134" s="36" t="s">
        <v>170</v>
      </c>
      <c r="D134" s="35" t="s">
        <v>171</v>
      </c>
      <c r="E134" s="33"/>
      <c r="F134" s="33" t="s">
        <v>172</v>
      </c>
      <c r="G134" s="33" t="s">
        <v>173</v>
      </c>
      <c r="H134" s="33" t="s">
        <v>8</v>
      </c>
      <c r="I134" s="45" t="s">
        <v>22</v>
      </c>
      <c r="J134" s="33"/>
      <c r="K134" s="33"/>
      <c r="L134" s="33"/>
      <c r="M134" s="33"/>
      <c r="AE134" s="70"/>
      <c r="AH134" s="33">
        <f t="shared" si="6"/>
        <v>43</v>
      </c>
      <c r="AI134" s="34"/>
      <c r="AJ134" s="33" t="s">
        <v>351</v>
      </c>
      <c r="AK134" s="35" t="s">
        <v>171</v>
      </c>
      <c r="AL134" s="33"/>
      <c r="AM134" s="33" t="s">
        <v>172</v>
      </c>
      <c r="AN134" s="33" t="s">
        <v>173</v>
      </c>
      <c r="AO134" s="33" t="s">
        <v>8</v>
      </c>
      <c r="AP134" s="45" t="s">
        <v>22</v>
      </c>
      <c r="AQ134" s="33"/>
      <c r="AR134" s="33"/>
      <c r="AS134" s="33"/>
      <c r="AT134" s="33"/>
    </row>
    <row r="135" s="2" customFormat="1" spans="1:46">
      <c r="A135" s="33">
        <f t="shared" si="5"/>
        <v>45</v>
      </c>
      <c r="B135" s="34"/>
      <c r="C135" s="33" t="s">
        <v>174</v>
      </c>
      <c r="D135" s="35" t="s">
        <v>175</v>
      </c>
      <c r="E135" s="33"/>
      <c r="F135" s="33" t="s">
        <v>141</v>
      </c>
      <c r="G135" s="33" t="s">
        <v>142</v>
      </c>
      <c r="H135" s="33">
        <v>32</v>
      </c>
      <c r="I135" s="45"/>
      <c r="J135" s="33"/>
      <c r="K135" s="33"/>
      <c r="L135" s="33"/>
      <c r="M135" s="33"/>
      <c r="AE135" s="70"/>
      <c r="AH135" s="33">
        <f t="shared" si="6"/>
        <v>44</v>
      </c>
      <c r="AI135" s="34"/>
      <c r="AJ135" s="33" t="s">
        <v>174</v>
      </c>
      <c r="AK135" s="35" t="s">
        <v>175</v>
      </c>
      <c r="AL135" s="33"/>
      <c r="AM135" s="33" t="s">
        <v>141</v>
      </c>
      <c r="AN135" s="33" t="s">
        <v>142</v>
      </c>
      <c r="AO135" s="33">
        <v>32</v>
      </c>
      <c r="AP135" s="45"/>
      <c r="AQ135" s="33"/>
      <c r="AR135" s="33"/>
      <c r="AS135" s="33"/>
      <c r="AT135" s="33"/>
    </row>
    <row r="136" s="2" customFormat="1" ht="22.5" spans="1:46">
      <c r="A136" s="33">
        <f t="shared" si="5"/>
        <v>46</v>
      </c>
      <c r="B136" s="34"/>
      <c r="C136" s="33" t="s">
        <v>176</v>
      </c>
      <c r="D136" s="35" t="s">
        <v>177</v>
      </c>
      <c r="E136" s="33" t="s">
        <v>178</v>
      </c>
      <c r="F136" s="33" t="s">
        <v>153</v>
      </c>
      <c r="G136" s="33" t="s">
        <v>142</v>
      </c>
      <c r="H136" s="33">
        <v>32</v>
      </c>
      <c r="I136" s="45"/>
      <c r="J136" s="33"/>
      <c r="K136" s="33"/>
      <c r="L136" s="33"/>
      <c r="M136" s="33" t="s">
        <v>179</v>
      </c>
      <c r="AE136" s="70"/>
      <c r="AH136" s="33">
        <f t="shared" si="6"/>
        <v>45</v>
      </c>
      <c r="AI136" s="34"/>
      <c r="AJ136" s="33" t="s">
        <v>176</v>
      </c>
      <c r="AK136" s="35" t="s">
        <v>177</v>
      </c>
      <c r="AL136" s="33" t="s">
        <v>180</v>
      </c>
      <c r="AM136" s="33" t="s">
        <v>153</v>
      </c>
      <c r="AN136" s="33" t="s">
        <v>142</v>
      </c>
      <c r="AO136" s="33">
        <v>32</v>
      </c>
      <c r="AP136" s="45"/>
      <c r="AQ136" s="33"/>
      <c r="AR136" s="33"/>
      <c r="AS136" s="33"/>
      <c r="AT136" s="33" t="s">
        <v>352</v>
      </c>
    </row>
    <row r="137" s="2" customFormat="1" spans="1:46">
      <c r="A137" s="33">
        <f t="shared" si="5"/>
        <v>47</v>
      </c>
      <c r="B137" s="34"/>
      <c r="C137" s="36" t="s">
        <v>182</v>
      </c>
      <c r="D137" s="35" t="s">
        <v>183</v>
      </c>
      <c r="E137" s="33"/>
      <c r="F137" s="33" t="s">
        <v>172</v>
      </c>
      <c r="G137" s="33" t="s">
        <v>173</v>
      </c>
      <c r="H137" s="33" t="s">
        <v>8</v>
      </c>
      <c r="I137" s="45" t="s">
        <v>22</v>
      </c>
      <c r="J137" s="33"/>
      <c r="K137" s="33"/>
      <c r="L137" s="33"/>
      <c r="M137" s="33"/>
      <c r="AE137" s="70"/>
      <c r="AH137" s="33">
        <f t="shared" si="6"/>
        <v>46</v>
      </c>
      <c r="AI137" s="34"/>
      <c r="AJ137" s="33" t="s">
        <v>353</v>
      </c>
      <c r="AK137" s="35" t="s">
        <v>183</v>
      </c>
      <c r="AL137" s="33"/>
      <c r="AM137" s="33" t="s">
        <v>172</v>
      </c>
      <c r="AN137" s="33" t="s">
        <v>173</v>
      </c>
      <c r="AO137" s="33" t="s">
        <v>8</v>
      </c>
      <c r="AP137" s="45" t="s">
        <v>22</v>
      </c>
      <c r="AQ137" s="33"/>
      <c r="AR137" s="33"/>
      <c r="AS137" s="33"/>
      <c r="AT137" s="33"/>
    </row>
    <row r="138" spans="15:62">
      <c r="O138" s="2"/>
      <c r="P138" s="2"/>
      <c r="Q138" s="2"/>
      <c r="R138" s="2"/>
      <c r="S138" s="2"/>
      <c r="T138" s="2"/>
      <c r="U138" s="2"/>
      <c r="V138" s="2"/>
      <c r="W138" s="2"/>
      <c r="X138" s="2"/>
      <c r="Y138" s="2"/>
      <c r="Z138" s="2"/>
      <c r="AA138" s="2"/>
      <c r="AB138" s="2"/>
      <c r="AC138" s="2"/>
      <c r="AV138" s="2"/>
      <c r="AW138" s="2"/>
      <c r="AX138" s="2"/>
      <c r="AY138" s="2"/>
      <c r="AZ138" s="2"/>
      <c r="BA138" s="2"/>
      <c r="BB138" s="2"/>
      <c r="BC138" s="2"/>
      <c r="BD138" s="2"/>
      <c r="BE138" s="2"/>
      <c r="BF138" s="2"/>
      <c r="BG138" s="2"/>
      <c r="BH138" s="2"/>
      <c r="BI138" s="2"/>
      <c r="BJ138" s="2"/>
    </row>
    <row r="139" spans="15:62">
      <c r="O139" s="2"/>
      <c r="P139" s="2"/>
      <c r="Q139" s="2"/>
      <c r="R139" s="2"/>
      <c r="S139" s="2"/>
      <c r="T139" s="2"/>
      <c r="U139" s="2"/>
      <c r="V139" s="2"/>
      <c r="W139" s="2"/>
      <c r="X139" s="2"/>
      <c r="Y139" s="2"/>
      <c r="Z139" s="2"/>
      <c r="AA139" s="2"/>
      <c r="AB139" s="2"/>
      <c r="AC139" s="2"/>
      <c r="AV139" s="2"/>
      <c r="AW139" s="2"/>
      <c r="AX139" s="2"/>
      <c r="AY139" s="2"/>
      <c r="AZ139" s="2"/>
      <c r="BA139" s="2"/>
      <c r="BB139" s="2"/>
      <c r="BC139" s="2"/>
      <c r="BD139" s="2"/>
      <c r="BE139" s="2"/>
      <c r="BF139" s="2"/>
      <c r="BG139" s="2"/>
      <c r="BH139" s="2"/>
      <c r="BI139" s="2"/>
      <c r="BJ139" s="2"/>
    </row>
    <row r="140" spans="15:62">
      <c r="O140" s="2"/>
      <c r="P140" s="2"/>
      <c r="Q140" s="2"/>
      <c r="R140" s="2"/>
      <c r="S140" s="2"/>
      <c r="T140" s="2"/>
      <c r="U140" s="2"/>
      <c r="V140" s="2"/>
      <c r="W140" s="2"/>
      <c r="X140" s="2"/>
      <c r="Y140" s="2"/>
      <c r="Z140" s="2"/>
      <c r="AA140" s="2"/>
      <c r="AB140" s="2"/>
      <c r="AC140" s="2"/>
      <c r="AV140" s="2"/>
      <c r="AW140" s="2"/>
      <c r="AX140" s="2"/>
      <c r="AY140" s="2"/>
      <c r="AZ140" s="2"/>
      <c r="BA140" s="2"/>
      <c r="BB140" s="2"/>
      <c r="BC140" s="2"/>
      <c r="BD140" s="2"/>
      <c r="BE140" s="2"/>
      <c r="BF140" s="2"/>
      <c r="BG140" s="2"/>
      <c r="BH140" s="2"/>
      <c r="BI140" s="2"/>
      <c r="BJ140" s="2"/>
    </row>
    <row r="141" spans="15:62">
      <c r="O141" s="2"/>
      <c r="P141" s="2"/>
      <c r="Q141" s="2"/>
      <c r="R141" s="2"/>
      <c r="S141" s="2"/>
      <c r="T141" s="2"/>
      <c r="U141" s="2"/>
      <c r="V141" s="2"/>
      <c r="W141" s="2"/>
      <c r="X141" s="2"/>
      <c r="Y141" s="2"/>
      <c r="Z141" s="2"/>
      <c r="AA141" s="2"/>
      <c r="AB141" s="2"/>
      <c r="AC141" s="2"/>
      <c r="AV141" s="2"/>
      <c r="AW141" s="2"/>
      <c r="AX141" s="2"/>
      <c r="AY141" s="2"/>
      <c r="AZ141" s="2"/>
      <c r="BA141" s="2"/>
      <c r="BB141" s="2"/>
      <c r="BC141" s="2"/>
      <c r="BD141" s="2"/>
      <c r="BE141" s="2"/>
      <c r="BF141" s="2"/>
      <c r="BG141" s="2"/>
      <c r="BH141" s="2"/>
      <c r="BI141" s="2"/>
      <c r="BJ141" s="2"/>
    </row>
    <row r="142" spans="15:62">
      <c r="O142" s="2"/>
      <c r="P142" s="2"/>
      <c r="Q142" s="2"/>
      <c r="R142" s="2"/>
      <c r="S142" s="2"/>
      <c r="T142" s="2"/>
      <c r="U142" s="2"/>
      <c r="V142" s="2"/>
      <c r="W142" s="2"/>
      <c r="X142" s="2"/>
      <c r="Y142" s="2"/>
      <c r="Z142" s="2"/>
      <c r="AA142" s="2"/>
      <c r="AB142" s="2"/>
      <c r="AC142" s="2"/>
      <c r="AV142" s="2"/>
      <c r="AW142" s="2"/>
      <c r="AX142" s="2"/>
      <c r="AY142" s="2"/>
      <c r="AZ142" s="2"/>
      <c r="BA142" s="2"/>
      <c r="BB142" s="2"/>
      <c r="BC142" s="2"/>
      <c r="BD142" s="2"/>
      <c r="BE142" s="2"/>
      <c r="BF142" s="2"/>
      <c r="BG142" s="2"/>
      <c r="BH142" s="2"/>
      <c r="BI142" s="2"/>
      <c r="BJ142" s="2"/>
    </row>
    <row r="143" spans="15:62">
      <c r="O143" s="2"/>
      <c r="P143" s="2"/>
      <c r="Q143" s="2"/>
      <c r="R143" s="2"/>
      <c r="S143" s="2"/>
      <c r="T143" s="2"/>
      <c r="U143" s="2"/>
      <c r="V143" s="2"/>
      <c r="W143" s="2"/>
      <c r="X143" s="2"/>
      <c r="Y143" s="2"/>
      <c r="Z143" s="2"/>
      <c r="AA143" s="2"/>
      <c r="AB143" s="2"/>
      <c r="AC143" s="2"/>
      <c r="AV143" s="2"/>
      <c r="AW143" s="2"/>
      <c r="AX143" s="2"/>
      <c r="AY143" s="2"/>
      <c r="AZ143" s="2"/>
      <c r="BA143" s="2"/>
      <c r="BB143" s="2"/>
      <c r="BC143" s="2"/>
      <c r="BD143" s="2"/>
      <c r="BE143" s="2"/>
      <c r="BF143" s="2"/>
      <c r="BG143" s="2"/>
      <c r="BH143" s="2"/>
      <c r="BI143" s="2"/>
      <c r="BJ143" s="2"/>
    </row>
    <row r="144" spans="15:62">
      <c r="O144" s="2"/>
      <c r="P144" s="2"/>
      <c r="Q144" s="2"/>
      <c r="R144" s="2"/>
      <c r="S144" s="2"/>
      <c r="T144" s="2"/>
      <c r="U144" s="2"/>
      <c r="V144" s="2"/>
      <c r="W144" s="2"/>
      <c r="X144" s="2"/>
      <c r="Y144" s="2"/>
      <c r="Z144" s="2"/>
      <c r="AA144" s="2"/>
      <c r="AB144" s="2"/>
      <c r="AC144" s="2"/>
      <c r="AV144" s="2"/>
      <c r="AW144" s="2"/>
      <c r="AX144" s="2"/>
      <c r="AY144" s="2"/>
      <c r="AZ144" s="2"/>
      <c r="BA144" s="2"/>
      <c r="BB144" s="2"/>
      <c r="BC144" s="2"/>
      <c r="BD144" s="2"/>
      <c r="BE144" s="2"/>
      <c r="BF144" s="2"/>
      <c r="BG144" s="2"/>
      <c r="BH144" s="2"/>
      <c r="BI144" s="2"/>
      <c r="BJ144" s="2"/>
    </row>
  </sheetData>
  <dataValidations count="2">
    <dataValidation type="list" allowBlank="1" showInputMessage="1" showErrorMessage="1" sqref="G8 AN8 G10:G20 G22:G29 G34:G86 G91:G137 AN10:AN20 AN22:AN29 AN34:AN86 AN91:AN137">
      <formula1>設定!$B:$B</formula1>
    </dataValidation>
    <dataValidation type="list" allowBlank="1" showInputMessage="1" showErrorMessage="1" sqref="F60 AM60">
      <formula1>設定!$A:$A</formula1>
    </dataValidation>
  </dataValidations>
  <pageMargins left="0.393700787401575" right="0.393700787401575" top="0.984251968503937" bottom="0.984251968503937" header="0.511811023622047" footer="0.511811023622047"/>
  <pageSetup paperSize="9" scale="58" fitToHeight="0" orientation="portrait"/>
  <headerFooter>
    <oddHeader>&amp;C&amp;"Arial,太字"&amp;14&amp;A&amp;R&amp;D &amp;T</oddHeader>
    <oddFooter>&amp;C&amp;P/&amp;N&amp;R&amp;F</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tabColor rgb="FFFFC000"/>
    <pageSetUpPr fitToPage="1"/>
  </sheetPr>
  <dimension ref="A1:AF288"/>
  <sheetViews>
    <sheetView showGridLines="0" zoomScale="115" zoomScaleNormal="115" workbookViewId="0">
      <pane xSplit="4" ySplit="3" topLeftCell="E252" activePane="bottomRight" state="frozen"/>
      <selection/>
      <selection pane="topRight"/>
      <selection pane="bottomLeft"/>
      <selection pane="bottomRight" activeCell="C258" sqref="C258"/>
    </sheetView>
  </sheetViews>
  <sheetFormatPr defaultColWidth="9.33333333333333" defaultRowHeight="11.25"/>
  <cols>
    <col min="1" max="1" width="4.33333333333333" style="2" customWidth="1"/>
    <col min="2" max="2" width="13.3333333333333" style="3" customWidth="1"/>
    <col min="3" max="3" width="30.7777777777778" style="2" customWidth="1"/>
    <col min="4" max="4" width="30.7777777777778" style="3" customWidth="1"/>
    <col min="5" max="5" width="40.3333333333333" style="2" customWidth="1"/>
    <col min="6" max="6" width="10.7777777777778" style="2" customWidth="1"/>
    <col min="7" max="7" width="13.1111111111111" style="2" customWidth="1"/>
    <col min="8" max="8" width="6.77777777777778" style="2" customWidth="1"/>
    <col min="9" max="9" width="5.77777777777778" style="4" customWidth="1"/>
    <col min="10" max="10" width="10.7777777777778" style="2" customWidth="1"/>
    <col min="11" max="11" width="18.7777777777778" style="2" customWidth="1"/>
    <col min="12" max="12" width="8.77777777777778" style="2" customWidth="1"/>
    <col min="13" max="13" width="22.7777777777778" style="2" customWidth="1"/>
    <col min="14" max="14" width="4.33333333333333" style="5" customWidth="1"/>
    <col min="15" max="15" width="3.44444444444444" style="5" customWidth="1"/>
    <col min="16" max="16" width="2.44444444444444" style="48" customWidth="1"/>
    <col min="17" max="17" width="2.44444444444444" style="5" customWidth="1"/>
    <col min="18" max="18" width="3.11111111111111" style="5" customWidth="1"/>
    <col min="19" max="19" width="4.33333333333333" style="2" customWidth="1"/>
    <col min="20" max="20" width="15.4444444444444" style="3" customWidth="1"/>
    <col min="21" max="21" width="30.7777777777778" style="2" customWidth="1"/>
    <col min="22" max="22" width="30.7777777777778" style="3" customWidth="1"/>
    <col min="23" max="23" width="53" style="2" customWidth="1"/>
    <col min="24" max="24" width="10.7777777777778" style="2" customWidth="1"/>
    <col min="25" max="25" width="13.1111111111111" style="2" customWidth="1"/>
    <col min="26" max="26" width="6.77777777777778" style="2" customWidth="1"/>
    <col min="27" max="27" width="5.77777777777778" style="4" customWidth="1"/>
    <col min="28" max="28" width="10.7777777777778" style="2" customWidth="1"/>
    <col min="29" max="29" width="18.7777777777778" style="2" customWidth="1"/>
    <col min="30" max="30" width="8.77777777777778" style="2" customWidth="1"/>
    <col min="31" max="31" width="34.3333333333333" style="2" customWidth="1"/>
    <col min="32" max="16384" width="9.33333333333333" style="5"/>
  </cols>
  <sheetData>
    <row r="1" s="2" customFormat="1" spans="1:27">
      <c r="A1" s="6"/>
      <c r="B1" s="7" t="s">
        <v>15</v>
      </c>
      <c r="C1" s="8"/>
      <c r="D1" s="9"/>
      <c r="I1" s="37"/>
      <c r="P1" s="70"/>
      <c r="S1" s="6"/>
      <c r="T1" s="7" t="s">
        <v>86</v>
      </c>
      <c r="U1" s="8"/>
      <c r="V1" s="9"/>
      <c r="AA1" s="37"/>
    </row>
    <row r="2" s="2" customFormat="1" spans="1:31">
      <c r="A2" s="10"/>
      <c r="B2" s="11" t="s">
        <v>124</v>
      </c>
      <c r="C2" s="8"/>
      <c r="D2" s="9"/>
      <c r="F2" s="3"/>
      <c r="G2" s="3"/>
      <c r="H2" s="3"/>
      <c r="I2" s="37"/>
      <c r="J2" s="3"/>
      <c r="K2" s="3"/>
      <c r="L2" s="3"/>
      <c r="M2" s="38"/>
      <c r="P2" s="70"/>
      <c r="S2" s="10"/>
      <c r="T2" s="11" t="s">
        <v>125</v>
      </c>
      <c r="U2" s="8"/>
      <c r="V2" s="9"/>
      <c r="X2" s="3"/>
      <c r="Y2" s="3"/>
      <c r="Z2" s="3"/>
      <c r="AA2" s="37"/>
      <c r="AB2" s="3"/>
      <c r="AC2" s="3"/>
      <c r="AD2" s="3"/>
      <c r="AE2" s="38"/>
    </row>
    <row r="3" s="2" customFormat="1" ht="22.5" spans="1:31">
      <c r="A3" s="12" t="s">
        <v>0</v>
      </c>
      <c r="B3" s="13"/>
      <c r="C3" s="14" t="s">
        <v>126</v>
      </c>
      <c r="D3" s="15" t="s">
        <v>15</v>
      </c>
      <c r="E3" s="14" t="s">
        <v>16</v>
      </c>
      <c r="F3" s="16" t="s">
        <v>127</v>
      </c>
      <c r="G3" s="14" t="s">
        <v>127</v>
      </c>
      <c r="H3" s="14" t="s">
        <v>128</v>
      </c>
      <c r="I3" s="39" t="s">
        <v>129</v>
      </c>
      <c r="J3" s="14" t="s">
        <v>130</v>
      </c>
      <c r="K3" s="14" t="s">
        <v>131</v>
      </c>
      <c r="L3" s="14" t="s">
        <v>132</v>
      </c>
      <c r="M3" s="14" t="s">
        <v>6</v>
      </c>
      <c r="P3" s="70"/>
      <c r="S3" s="12" t="s">
        <v>0</v>
      </c>
      <c r="T3" s="13"/>
      <c r="U3" s="14" t="s">
        <v>133</v>
      </c>
      <c r="V3" s="15" t="s">
        <v>86</v>
      </c>
      <c r="W3" s="14" t="s">
        <v>87</v>
      </c>
      <c r="X3" s="16" t="s">
        <v>134</v>
      </c>
      <c r="Y3" s="14" t="s">
        <v>134</v>
      </c>
      <c r="Z3" s="14" t="s">
        <v>128</v>
      </c>
      <c r="AA3" s="39" t="s">
        <v>135</v>
      </c>
      <c r="AB3" s="14" t="s">
        <v>130</v>
      </c>
      <c r="AC3" s="14" t="s">
        <v>136</v>
      </c>
      <c r="AD3" s="14" t="s">
        <v>132</v>
      </c>
      <c r="AE3" s="14" t="s">
        <v>137</v>
      </c>
    </row>
    <row r="4" spans="12:30">
      <c r="L4" s="97" t="s">
        <v>618</v>
      </c>
      <c r="AD4" s="97" t="s">
        <v>618</v>
      </c>
    </row>
    <row r="5" spans="1:27">
      <c r="A5" s="6"/>
      <c r="B5" s="7" t="s">
        <v>15</v>
      </c>
      <c r="C5" s="8" t="s">
        <v>38</v>
      </c>
      <c r="D5" s="9"/>
      <c r="I5" s="37"/>
      <c r="S5" s="6"/>
      <c r="T5" s="7" t="s">
        <v>86</v>
      </c>
      <c r="U5" s="8" t="s">
        <v>38</v>
      </c>
      <c r="V5" s="9"/>
      <c r="AA5" s="37"/>
    </row>
    <row r="6" spans="1:31">
      <c r="A6" s="10"/>
      <c r="B6" s="11" t="s">
        <v>124</v>
      </c>
      <c r="C6" s="8" t="str">
        <f>テーブル一覧!E11</f>
        <v>T_SOD_CONTRACT_SERVICE</v>
      </c>
      <c r="D6" s="9"/>
      <c r="E6" s="2" t="s">
        <v>37</v>
      </c>
      <c r="F6" s="3"/>
      <c r="G6" s="3"/>
      <c r="H6" s="3"/>
      <c r="I6" s="37"/>
      <c r="J6" s="3"/>
      <c r="K6" s="3"/>
      <c r="L6" s="3"/>
      <c r="M6" s="38"/>
      <c r="S6" s="10"/>
      <c r="T6" s="11" t="s">
        <v>125</v>
      </c>
      <c r="U6" s="8" t="str">
        <f>C6</f>
        <v>T_SOD_CONTRACT_SERVICE</v>
      </c>
      <c r="V6" s="9"/>
      <c r="W6" s="2" t="s">
        <v>37</v>
      </c>
      <c r="X6" s="3"/>
      <c r="Y6" s="3"/>
      <c r="Z6" s="3"/>
      <c r="AA6" s="37"/>
      <c r="AB6" s="3"/>
      <c r="AC6" s="3"/>
      <c r="AD6" s="3"/>
      <c r="AE6" s="38"/>
    </row>
    <row r="7" ht="22.5" spans="1:31">
      <c r="A7" s="12" t="s">
        <v>0</v>
      </c>
      <c r="B7" s="13"/>
      <c r="C7" s="14" t="s">
        <v>126</v>
      </c>
      <c r="D7" s="15" t="s">
        <v>15</v>
      </c>
      <c r="E7" s="14" t="s">
        <v>16</v>
      </c>
      <c r="F7" s="16" t="s">
        <v>127</v>
      </c>
      <c r="G7" s="14" t="s">
        <v>127</v>
      </c>
      <c r="H7" s="14" t="s">
        <v>128</v>
      </c>
      <c r="I7" s="39" t="s">
        <v>129</v>
      </c>
      <c r="J7" s="14" t="s">
        <v>130</v>
      </c>
      <c r="K7" s="14" t="s">
        <v>131</v>
      </c>
      <c r="L7" s="14" t="s">
        <v>132</v>
      </c>
      <c r="M7" s="14" t="s">
        <v>6</v>
      </c>
      <c r="S7" s="12" t="s">
        <v>0</v>
      </c>
      <c r="T7" s="13"/>
      <c r="U7" s="14" t="s">
        <v>133</v>
      </c>
      <c r="V7" s="15" t="s">
        <v>86</v>
      </c>
      <c r="W7" s="14" t="s">
        <v>87</v>
      </c>
      <c r="X7" s="16" t="s">
        <v>134</v>
      </c>
      <c r="Y7" s="14" t="s">
        <v>134</v>
      </c>
      <c r="Z7" s="14" t="s">
        <v>128</v>
      </c>
      <c r="AA7" s="39" t="s">
        <v>135</v>
      </c>
      <c r="AB7" s="14" t="s">
        <v>130</v>
      </c>
      <c r="AC7" s="14" t="s">
        <v>136</v>
      </c>
      <c r="AD7" s="14" t="s">
        <v>132</v>
      </c>
      <c r="AE7" s="14" t="s">
        <v>137</v>
      </c>
    </row>
    <row r="8" s="2" customFormat="1" spans="1:31">
      <c r="A8" s="31">
        <v>1</v>
      </c>
      <c r="B8" s="59"/>
      <c r="C8" s="31" t="s">
        <v>619</v>
      </c>
      <c r="D8" s="96" t="s">
        <v>416</v>
      </c>
      <c r="E8" s="82" t="s">
        <v>620</v>
      </c>
      <c r="F8" s="31" t="s">
        <v>141</v>
      </c>
      <c r="G8" s="31" t="s">
        <v>142</v>
      </c>
      <c r="H8" s="31">
        <v>64</v>
      </c>
      <c r="I8" s="43" t="s">
        <v>22</v>
      </c>
      <c r="J8" s="31"/>
      <c r="K8" s="87"/>
      <c r="L8" s="31" t="s">
        <v>188</v>
      </c>
      <c r="M8" s="31"/>
      <c r="P8" s="70"/>
      <c r="S8" s="31">
        <v>1</v>
      </c>
      <c r="T8" s="59"/>
      <c r="U8" s="31" t="s">
        <v>619</v>
      </c>
      <c r="V8" s="96" t="s">
        <v>416</v>
      </c>
      <c r="W8" s="82" t="s">
        <v>621</v>
      </c>
      <c r="X8" s="31" t="s">
        <v>141</v>
      </c>
      <c r="Y8" s="31" t="s">
        <v>142</v>
      </c>
      <c r="Z8" s="31">
        <v>64</v>
      </c>
      <c r="AA8" s="43" t="s">
        <v>22</v>
      </c>
      <c r="AB8" s="31"/>
      <c r="AC8" s="87"/>
      <c r="AD8" s="31" t="s">
        <v>188</v>
      </c>
      <c r="AE8" s="31"/>
    </row>
    <row r="9" s="2" customFormat="1" spans="1:31">
      <c r="A9" s="61">
        <f t="shared" ref="A9:A24" si="0">A8+1</f>
        <v>2</v>
      </c>
      <c r="B9" s="62"/>
      <c r="C9" s="61" t="s">
        <v>622</v>
      </c>
      <c r="D9" s="63" t="s">
        <v>623</v>
      </c>
      <c r="E9" s="61"/>
      <c r="F9" s="61" t="s">
        <v>141</v>
      </c>
      <c r="G9" s="61" t="s">
        <v>142</v>
      </c>
      <c r="H9" s="61">
        <v>64</v>
      </c>
      <c r="I9" s="69"/>
      <c r="J9" s="61"/>
      <c r="K9" s="61"/>
      <c r="L9" s="61" t="s">
        <v>216</v>
      </c>
      <c r="M9" s="61" t="s">
        <v>230</v>
      </c>
      <c r="P9" s="70"/>
      <c r="S9" s="61">
        <f t="shared" ref="S9:S24" si="1">S8+1</f>
        <v>2</v>
      </c>
      <c r="T9" s="62"/>
      <c r="U9" s="61" t="s">
        <v>622</v>
      </c>
      <c r="V9" s="63" t="s">
        <v>623</v>
      </c>
      <c r="W9" s="61"/>
      <c r="X9" s="61" t="s">
        <v>141</v>
      </c>
      <c r="Y9" s="61" t="s">
        <v>142</v>
      </c>
      <c r="Z9" s="61">
        <v>64</v>
      </c>
      <c r="AA9" s="69"/>
      <c r="AB9" s="61"/>
      <c r="AC9" s="61"/>
      <c r="AD9" s="61" t="s">
        <v>216</v>
      </c>
      <c r="AE9" s="61" t="s">
        <v>230</v>
      </c>
    </row>
    <row r="10" s="2" customFormat="1" spans="1:31">
      <c r="A10" s="31">
        <f t="shared" si="0"/>
        <v>3</v>
      </c>
      <c r="B10" s="59"/>
      <c r="C10" s="31" t="s">
        <v>624</v>
      </c>
      <c r="D10" s="87" t="s">
        <v>625</v>
      </c>
      <c r="E10" s="226" t="s">
        <v>626</v>
      </c>
      <c r="F10" s="31" t="s">
        <v>627</v>
      </c>
      <c r="G10" s="31" t="s">
        <v>628</v>
      </c>
      <c r="H10" s="31" t="s">
        <v>8</v>
      </c>
      <c r="I10" s="43"/>
      <c r="J10" s="31"/>
      <c r="K10" s="31"/>
      <c r="L10" s="31"/>
      <c r="M10" s="31"/>
      <c r="P10" s="70"/>
      <c r="S10" s="31">
        <f t="shared" si="1"/>
        <v>3</v>
      </c>
      <c r="T10" s="59"/>
      <c r="U10" s="31" t="s">
        <v>624</v>
      </c>
      <c r="V10" s="87" t="s">
        <v>625</v>
      </c>
      <c r="W10" s="226" t="s">
        <v>629</v>
      </c>
      <c r="X10" s="31" t="s">
        <v>627</v>
      </c>
      <c r="Y10" s="31" t="s">
        <v>628</v>
      </c>
      <c r="Z10" s="31" t="s">
        <v>8</v>
      </c>
      <c r="AA10" s="43"/>
      <c r="AB10" s="31"/>
      <c r="AC10" s="31"/>
      <c r="AD10" s="31"/>
      <c r="AE10" s="31"/>
    </row>
    <row r="11" s="2" customFormat="1" spans="1:31">
      <c r="A11" s="31">
        <f t="shared" si="0"/>
        <v>4</v>
      </c>
      <c r="B11" s="59"/>
      <c r="C11" s="31" t="s">
        <v>630</v>
      </c>
      <c r="D11" s="87" t="s">
        <v>631</v>
      </c>
      <c r="E11" s="31"/>
      <c r="F11" s="31" t="s">
        <v>141</v>
      </c>
      <c r="G11" s="31" t="s">
        <v>142</v>
      </c>
      <c r="H11" s="31">
        <v>6</v>
      </c>
      <c r="I11" s="43"/>
      <c r="J11" s="31"/>
      <c r="K11" s="31"/>
      <c r="L11" s="31"/>
      <c r="M11" s="31"/>
      <c r="P11" s="70"/>
      <c r="S11" s="31">
        <f t="shared" si="1"/>
        <v>4</v>
      </c>
      <c r="T11" s="59"/>
      <c r="U11" s="31" t="s">
        <v>630</v>
      </c>
      <c r="V11" s="87" t="s">
        <v>631</v>
      </c>
      <c r="W11" s="31"/>
      <c r="X11" s="31" t="s">
        <v>141</v>
      </c>
      <c r="Y11" s="31" t="s">
        <v>142</v>
      </c>
      <c r="Z11" s="31">
        <v>6</v>
      </c>
      <c r="AA11" s="43"/>
      <c r="AB11" s="31"/>
      <c r="AC11" s="31"/>
      <c r="AD11" s="31"/>
      <c r="AE11" s="31"/>
    </row>
    <row r="12" s="2" customFormat="1" spans="1:31">
      <c r="A12" s="61">
        <f t="shared" si="0"/>
        <v>5</v>
      </c>
      <c r="B12" s="62"/>
      <c r="C12" s="61" t="s">
        <v>632</v>
      </c>
      <c r="D12" s="63" t="s">
        <v>633</v>
      </c>
      <c r="E12" s="61"/>
      <c r="F12" s="61" t="s">
        <v>141</v>
      </c>
      <c r="G12" s="61" t="s">
        <v>142</v>
      </c>
      <c r="H12" s="61">
        <v>6</v>
      </c>
      <c r="I12" s="69"/>
      <c r="J12" s="61"/>
      <c r="K12" s="61"/>
      <c r="L12" s="61"/>
      <c r="M12" s="61" t="s">
        <v>230</v>
      </c>
      <c r="P12" s="70"/>
      <c r="S12" s="61">
        <f t="shared" si="1"/>
        <v>5</v>
      </c>
      <c r="T12" s="62"/>
      <c r="U12" s="61" t="s">
        <v>632</v>
      </c>
      <c r="V12" s="63" t="s">
        <v>633</v>
      </c>
      <c r="W12" s="61"/>
      <c r="X12" s="61" t="s">
        <v>141</v>
      </c>
      <c r="Y12" s="61" t="s">
        <v>142</v>
      </c>
      <c r="Z12" s="61">
        <v>6</v>
      </c>
      <c r="AA12" s="69"/>
      <c r="AB12" s="61"/>
      <c r="AC12" s="61"/>
      <c r="AD12" s="61"/>
      <c r="AE12" s="61" t="s">
        <v>230</v>
      </c>
    </row>
    <row r="13" s="2" customFormat="1" spans="1:31">
      <c r="A13" s="31">
        <f t="shared" si="0"/>
        <v>6</v>
      </c>
      <c r="B13" s="59"/>
      <c r="C13" s="31" t="s">
        <v>634</v>
      </c>
      <c r="D13" s="31" t="s">
        <v>635</v>
      </c>
      <c r="E13" s="31" t="s">
        <v>636</v>
      </c>
      <c r="F13" s="31" t="s">
        <v>141</v>
      </c>
      <c r="G13" s="31" t="s">
        <v>142</v>
      </c>
      <c r="H13" s="31">
        <v>3</v>
      </c>
      <c r="I13" s="43" t="s">
        <v>22</v>
      </c>
      <c r="J13" s="226" t="s">
        <v>637</v>
      </c>
      <c r="K13" s="87"/>
      <c r="L13" s="31"/>
      <c r="M13" s="226" t="s">
        <v>638</v>
      </c>
      <c r="P13" s="70"/>
      <c r="S13" s="31">
        <f t="shared" si="1"/>
        <v>6</v>
      </c>
      <c r="T13" s="59"/>
      <c r="U13" s="31" t="s">
        <v>634</v>
      </c>
      <c r="V13" s="31" t="s">
        <v>635</v>
      </c>
      <c r="W13" s="31" t="s">
        <v>636</v>
      </c>
      <c r="X13" s="31" t="s">
        <v>141</v>
      </c>
      <c r="Y13" s="31" t="s">
        <v>142</v>
      </c>
      <c r="Z13" s="31">
        <v>3</v>
      </c>
      <c r="AA13" s="43" t="s">
        <v>22</v>
      </c>
      <c r="AB13" s="226" t="s">
        <v>637</v>
      </c>
      <c r="AC13" s="87"/>
      <c r="AD13" s="31"/>
      <c r="AE13" s="226" t="s">
        <v>639</v>
      </c>
    </row>
    <row r="14" s="2" customFormat="1" spans="1:31">
      <c r="A14" s="61">
        <f t="shared" si="0"/>
        <v>7</v>
      </c>
      <c r="B14" s="62"/>
      <c r="C14" s="61" t="s">
        <v>640</v>
      </c>
      <c r="D14" s="63" t="s">
        <v>641</v>
      </c>
      <c r="E14" s="61"/>
      <c r="F14" s="61" t="s">
        <v>141</v>
      </c>
      <c r="G14" s="61" t="s">
        <v>142</v>
      </c>
      <c r="H14" s="61">
        <v>64</v>
      </c>
      <c r="I14" s="69"/>
      <c r="J14" s="61"/>
      <c r="K14" s="61"/>
      <c r="L14" s="61"/>
      <c r="M14" s="61" t="s">
        <v>230</v>
      </c>
      <c r="P14" s="70"/>
      <c r="S14" s="61">
        <f t="shared" si="1"/>
        <v>7</v>
      </c>
      <c r="T14" s="62"/>
      <c r="U14" s="61" t="s">
        <v>640</v>
      </c>
      <c r="V14" s="63" t="s">
        <v>641</v>
      </c>
      <c r="W14" s="61"/>
      <c r="X14" s="61" t="s">
        <v>141</v>
      </c>
      <c r="Y14" s="61" t="s">
        <v>142</v>
      </c>
      <c r="Z14" s="61">
        <v>64</v>
      </c>
      <c r="AA14" s="69"/>
      <c r="AB14" s="61"/>
      <c r="AC14" s="61"/>
      <c r="AD14" s="61"/>
      <c r="AE14" s="61" t="s">
        <v>230</v>
      </c>
    </row>
    <row r="15" s="2" customFormat="1" spans="1:31">
      <c r="A15" s="61">
        <f t="shared" si="0"/>
        <v>8</v>
      </c>
      <c r="B15" s="62"/>
      <c r="C15" s="61" t="s">
        <v>642</v>
      </c>
      <c r="D15" s="63" t="s">
        <v>643</v>
      </c>
      <c r="E15" s="61"/>
      <c r="F15" s="61" t="s">
        <v>627</v>
      </c>
      <c r="G15" s="61" t="s">
        <v>628</v>
      </c>
      <c r="H15" s="61" t="s">
        <v>8</v>
      </c>
      <c r="I15" s="69"/>
      <c r="J15" s="61"/>
      <c r="K15" s="61"/>
      <c r="L15" s="61"/>
      <c r="M15" s="61" t="s">
        <v>230</v>
      </c>
      <c r="P15" s="70"/>
      <c r="S15" s="61">
        <f t="shared" si="1"/>
        <v>8</v>
      </c>
      <c r="T15" s="62"/>
      <c r="U15" s="61" t="s">
        <v>642</v>
      </c>
      <c r="V15" s="63" t="s">
        <v>643</v>
      </c>
      <c r="W15" s="61"/>
      <c r="X15" s="61" t="s">
        <v>627</v>
      </c>
      <c r="Y15" s="61" t="s">
        <v>628</v>
      </c>
      <c r="Z15" s="61" t="s">
        <v>8</v>
      </c>
      <c r="AA15" s="69"/>
      <c r="AB15" s="61"/>
      <c r="AC15" s="61"/>
      <c r="AD15" s="61"/>
      <c r="AE15" s="61" t="s">
        <v>230</v>
      </c>
    </row>
    <row r="16" s="2" customFormat="1" spans="1:31">
      <c r="A16" s="31">
        <f t="shared" si="0"/>
        <v>9</v>
      </c>
      <c r="B16" s="59"/>
      <c r="C16" s="31" t="s">
        <v>149</v>
      </c>
      <c r="D16" s="87" t="s">
        <v>6</v>
      </c>
      <c r="E16" s="31"/>
      <c r="F16" s="31" t="s">
        <v>141</v>
      </c>
      <c r="G16" s="31" t="s">
        <v>142</v>
      </c>
      <c r="H16" s="31">
        <v>256</v>
      </c>
      <c r="I16" s="43"/>
      <c r="J16" s="31"/>
      <c r="K16" s="31"/>
      <c r="L16" s="31"/>
      <c r="M16" s="31"/>
      <c r="P16" s="70"/>
      <c r="S16" s="31">
        <f t="shared" si="1"/>
        <v>9</v>
      </c>
      <c r="T16" s="59"/>
      <c r="U16" s="31" t="s">
        <v>149</v>
      </c>
      <c r="V16" s="87" t="s">
        <v>6</v>
      </c>
      <c r="W16" s="31"/>
      <c r="X16" s="31" t="s">
        <v>141</v>
      </c>
      <c r="Y16" s="31" t="s">
        <v>142</v>
      </c>
      <c r="Z16" s="31">
        <v>256</v>
      </c>
      <c r="AA16" s="43"/>
      <c r="AB16" s="31"/>
      <c r="AC16" s="31"/>
      <c r="AD16" s="31"/>
      <c r="AE16" s="31"/>
    </row>
    <row r="17" s="2" customFormat="1" ht="22.5" spans="1:31">
      <c r="A17" s="33">
        <f t="shared" si="0"/>
        <v>10</v>
      </c>
      <c r="B17" s="34"/>
      <c r="C17" s="33" t="s">
        <v>150</v>
      </c>
      <c r="D17" s="35" t="s">
        <v>151</v>
      </c>
      <c r="E17" s="33" t="s">
        <v>152</v>
      </c>
      <c r="F17" s="33" t="s">
        <v>153</v>
      </c>
      <c r="G17" s="33" t="s">
        <v>154</v>
      </c>
      <c r="H17" s="33" t="s">
        <v>8</v>
      </c>
      <c r="I17" s="45" t="s">
        <v>22</v>
      </c>
      <c r="J17" s="225" t="s">
        <v>155</v>
      </c>
      <c r="K17" s="33"/>
      <c r="L17" s="33"/>
      <c r="M17" s="33" t="s">
        <v>156</v>
      </c>
      <c r="P17" s="70"/>
      <c r="S17" s="33">
        <f t="shared" si="1"/>
        <v>10</v>
      </c>
      <c r="T17" s="34"/>
      <c r="U17" s="33" t="s">
        <v>150</v>
      </c>
      <c r="V17" s="35" t="s">
        <v>151</v>
      </c>
      <c r="W17" s="33" t="s">
        <v>644</v>
      </c>
      <c r="X17" s="33" t="s">
        <v>153</v>
      </c>
      <c r="Y17" s="33" t="s">
        <v>154</v>
      </c>
      <c r="Z17" s="33" t="s">
        <v>8</v>
      </c>
      <c r="AA17" s="45" t="s">
        <v>22</v>
      </c>
      <c r="AB17" s="225" t="s">
        <v>155</v>
      </c>
      <c r="AC17" s="33"/>
      <c r="AD17" s="33"/>
      <c r="AE17" s="33" t="s">
        <v>349</v>
      </c>
    </row>
    <row r="18" s="2" customFormat="1" spans="1:31">
      <c r="A18" s="33">
        <f t="shared" si="0"/>
        <v>11</v>
      </c>
      <c r="B18" s="34"/>
      <c r="C18" s="33" t="s">
        <v>159</v>
      </c>
      <c r="D18" s="35" t="s">
        <v>160</v>
      </c>
      <c r="E18" s="33" t="s">
        <v>161</v>
      </c>
      <c r="F18" s="33" t="s">
        <v>153</v>
      </c>
      <c r="G18" s="33" t="s">
        <v>162</v>
      </c>
      <c r="H18" s="33"/>
      <c r="I18" s="45" t="s">
        <v>22</v>
      </c>
      <c r="J18" s="33">
        <v>0</v>
      </c>
      <c r="K18" s="33"/>
      <c r="L18" s="33"/>
      <c r="M18" s="33"/>
      <c r="P18" s="70"/>
      <c r="S18" s="33">
        <f t="shared" si="1"/>
        <v>11</v>
      </c>
      <c r="T18" s="34"/>
      <c r="U18" s="33" t="s">
        <v>159</v>
      </c>
      <c r="V18" s="35" t="s">
        <v>160</v>
      </c>
      <c r="W18" s="33" t="s">
        <v>163</v>
      </c>
      <c r="X18" s="33" t="s">
        <v>153</v>
      </c>
      <c r="Y18" s="33" t="s">
        <v>162</v>
      </c>
      <c r="Z18" s="33"/>
      <c r="AA18" s="45" t="s">
        <v>22</v>
      </c>
      <c r="AB18" s="33">
        <v>0</v>
      </c>
      <c r="AC18" s="33"/>
      <c r="AD18" s="33"/>
      <c r="AE18" s="33"/>
    </row>
    <row r="19" s="2" customFormat="1" spans="1:31">
      <c r="A19" s="33">
        <f t="shared" si="0"/>
        <v>12</v>
      </c>
      <c r="B19" s="34"/>
      <c r="C19" s="33" t="s">
        <v>164</v>
      </c>
      <c r="D19" s="35" t="s">
        <v>165</v>
      </c>
      <c r="E19" s="33"/>
      <c r="F19" s="33" t="s">
        <v>141</v>
      </c>
      <c r="G19" s="33" t="s">
        <v>142</v>
      </c>
      <c r="H19" s="33">
        <v>32</v>
      </c>
      <c r="I19" s="45"/>
      <c r="J19" s="33"/>
      <c r="K19" s="33"/>
      <c r="L19" s="33"/>
      <c r="M19" s="33"/>
      <c r="P19" s="70"/>
      <c r="S19" s="33">
        <f t="shared" si="1"/>
        <v>12</v>
      </c>
      <c r="T19" s="34"/>
      <c r="U19" s="33" t="s">
        <v>164</v>
      </c>
      <c r="V19" s="35" t="s">
        <v>165</v>
      </c>
      <c r="W19" s="33"/>
      <c r="X19" s="33" t="s">
        <v>141</v>
      </c>
      <c r="Y19" s="33" t="s">
        <v>142</v>
      </c>
      <c r="Z19" s="33">
        <v>32</v>
      </c>
      <c r="AA19" s="45"/>
      <c r="AB19" s="33"/>
      <c r="AC19" s="33"/>
      <c r="AD19" s="33"/>
      <c r="AE19" s="33"/>
    </row>
    <row r="20" s="2" customFormat="1" spans="1:31">
      <c r="A20" s="33">
        <f t="shared" si="0"/>
        <v>13</v>
      </c>
      <c r="B20" s="34"/>
      <c r="C20" s="33" t="s">
        <v>166</v>
      </c>
      <c r="D20" s="35" t="s">
        <v>167</v>
      </c>
      <c r="E20" s="33"/>
      <c r="F20" s="33" t="s">
        <v>153</v>
      </c>
      <c r="G20" s="33" t="s">
        <v>142</v>
      </c>
      <c r="H20" s="33">
        <v>32</v>
      </c>
      <c r="I20" s="45"/>
      <c r="J20" s="33"/>
      <c r="K20" s="33"/>
      <c r="L20" s="33"/>
      <c r="M20" s="33" t="s">
        <v>168</v>
      </c>
      <c r="P20" s="70"/>
      <c r="S20" s="33">
        <f t="shared" si="1"/>
        <v>13</v>
      </c>
      <c r="T20" s="34"/>
      <c r="U20" s="33" t="s">
        <v>166</v>
      </c>
      <c r="V20" s="35" t="s">
        <v>167</v>
      </c>
      <c r="W20" s="33"/>
      <c r="X20" s="33" t="s">
        <v>153</v>
      </c>
      <c r="Y20" s="33" t="s">
        <v>142</v>
      </c>
      <c r="Z20" s="33">
        <v>32</v>
      </c>
      <c r="AA20" s="45"/>
      <c r="AB20" s="33"/>
      <c r="AC20" s="33"/>
      <c r="AD20" s="33"/>
      <c r="AE20" s="33" t="s">
        <v>169</v>
      </c>
    </row>
    <row r="21" s="2" customFormat="1" spans="1:31">
      <c r="A21" s="33">
        <f t="shared" si="0"/>
        <v>14</v>
      </c>
      <c r="B21" s="34"/>
      <c r="C21" s="36" t="s">
        <v>170</v>
      </c>
      <c r="D21" s="35" t="s">
        <v>171</v>
      </c>
      <c r="E21" s="33"/>
      <c r="F21" s="33" t="s">
        <v>172</v>
      </c>
      <c r="G21" s="33" t="s">
        <v>173</v>
      </c>
      <c r="H21" s="33" t="s">
        <v>8</v>
      </c>
      <c r="I21" s="45" t="s">
        <v>22</v>
      </c>
      <c r="J21" s="33"/>
      <c r="K21" s="33"/>
      <c r="L21" s="33"/>
      <c r="M21" s="33"/>
      <c r="P21" s="70"/>
      <c r="S21" s="33">
        <f t="shared" si="1"/>
        <v>14</v>
      </c>
      <c r="T21" s="34"/>
      <c r="U21" s="33" t="s">
        <v>351</v>
      </c>
      <c r="V21" s="35" t="s">
        <v>171</v>
      </c>
      <c r="W21" s="33"/>
      <c r="X21" s="33" t="s">
        <v>172</v>
      </c>
      <c r="Y21" s="33" t="s">
        <v>173</v>
      </c>
      <c r="Z21" s="33" t="s">
        <v>8</v>
      </c>
      <c r="AA21" s="45" t="s">
        <v>22</v>
      </c>
      <c r="AB21" s="33"/>
      <c r="AC21" s="33"/>
      <c r="AD21" s="33"/>
      <c r="AE21" s="33"/>
    </row>
    <row r="22" s="2" customFormat="1" spans="1:31">
      <c r="A22" s="33">
        <f t="shared" si="0"/>
        <v>15</v>
      </c>
      <c r="B22" s="34"/>
      <c r="C22" s="33" t="s">
        <v>174</v>
      </c>
      <c r="D22" s="35" t="s">
        <v>175</v>
      </c>
      <c r="E22" s="33"/>
      <c r="F22" s="33" t="s">
        <v>141</v>
      </c>
      <c r="G22" s="33" t="s">
        <v>142</v>
      </c>
      <c r="H22" s="33">
        <v>32</v>
      </c>
      <c r="I22" s="45"/>
      <c r="J22" s="33"/>
      <c r="K22" s="33"/>
      <c r="L22" s="33"/>
      <c r="M22" s="33"/>
      <c r="P22" s="70"/>
      <c r="S22" s="33">
        <f t="shared" si="1"/>
        <v>15</v>
      </c>
      <c r="T22" s="34"/>
      <c r="U22" s="33" t="s">
        <v>174</v>
      </c>
      <c r="V22" s="35" t="s">
        <v>175</v>
      </c>
      <c r="W22" s="33"/>
      <c r="X22" s="33" t="s">
        <v>141</v>
      </c>
      <c r="Y22" s="33" t="s">
        <v>142</v>
      </c>
      <c r="Z22" s="33">
        <v>32</v>
      </c>
      <c r="AA22" s="45"/>
      <c r="AB22" s="33"/>
      <c r="AC22" s="33"/>
      <c r="AD22" s="33"/>
      <c r="AE22" s="33"/>
    </row>
    <row r="23" s="2" customFormat="1" ht="22.5" spans="1:31">
      <c r="A23" s="33">
        <f t="shared" si="0"/>
        <v>16</v>
      </c>
      <c r="B23" s="34"/>
      <c r="C23" s="33" t="s">
        <v>176</v>
      </c>
      <c r="D23" s="35" t="s">
        <v>177</v>
      </c>
      <c r="E23" s="33" t="s">
        <v>178</v>
      </c>
      <c r="F23" s="33" t="s">
        <v>153</v>
      </c>
      <c r="G23" s="33" t="s">
        <v>142</v>
      </c>
      <c r="H23" s="33">
        <v>32</v>
      </c>
      <c r="I23" s="45"/>
      <c r="J23" s="33"/>
      <c r="K23" s="33"/>
      <c r="L23" s="33"/>
      <c r="M23" s="33" t="s">
        <v>179</v>
      </c>
      <c r="P23" s="70"/>
      <c r="S23" s="33">
        <f t="shared" si="1"/>
        <v>16</v>
      </c>
      <c r="T23" s="34"/>
      <c r="U23" s="33" t="s">
        <v>176</v>
      </c>
      <c r="V23" s="35" t="s">
        <v>177</v>
      </c>
      <c r="W23" s="33" t="s">
        <v>180</v>
      </c>
      <c r="X23" s="33" t="s">
        <v>153</v>
      </c>
      <c r="Y23" s="33" t="s">
        <v>142</v>
      </c>
      <c r="Z23" s="33">
        <v>32</v>
      </c>
      <c r="AA23" s="45"/>
      <c r="AB23" s="33"/>
      <c r="AC23" s="33"/>
      <c r="AD23" s="33"/>
      <c r="AE23" s="33" t="s">
        <v>645</v>
      </c>
    </row>
    <row r="24" s="2" customFormat="1" spans="1:31">
      <c r="A24" s="33">
        <f t="shared" si="0"/>
        <v>17</v>
      </c>
      <c r="B24" s="34"/>
      <c r="C24" s="36" t="s">
        <v>182</v>
      </c>
      <c r="D24" s="35" t="s">
        <v>183</v>
      </c>
      <c r="E24" s="33"/>
      <c r="F24" s="33" t="s">
        <v>172</v>
      </c>
      <c r="G24" s="33" t="s">
        <v>173</v>
      </c>
      <c r="H24" s="33" t="s">
        <v>8</v>
      </c>
      <c r="I24" s="45" t="s">
        <v>22</v>
      </c>
      <c r="J24" s="33"/>
      <c r="K24" s="33"/>
      <c r="L24" s="33"/>
      <c r="M24" s="33"/>
      <c r="P24" s="70"/>
      <c r="S24" s="33">
        <f t="shared" si="1"/>
        <v>17</v>
      </c>
      <c r="T24" s="34"/>
      <c r="U24" s="33" t="s">
        <v>353</v>
      </c>
      <c r="V24" s="35" t="s">
        <v>183</v>
      </c>
      <c r="W24" s="33"/>
      <c r="X24" s="33" t="s">
        <v>172</v>
      </c>
      <c r="Y24" s="33" t="s">
        <v>173</v>
      </c>
      <c r="Z24" s="33" t="s">
        <v>8</v>
      </c>
      <c r="AA24" s="45" t="s">
        <v>22</v>
      </c>
      <c r="AB24" s="33"/>
      <c r="AC24" s="33"/>
      <c r="AD24" s="33"/>
      <c r="AE24" s="33"/>
    </row>
    <row r="26" spans="1:27">
      <c r="A26" s="6"/>
      <c r="B26" s="7" t="s">
        <v>15</v>
      </c>
      <c r="C26" s="8" t="s">
        <v>42</v>
      </c>
      <c r="D26" s="9"/>
      <c r="I26" s="37"/>
      <c r="S26" s="6"/>
      <c r="T26" s="7" t="s">
        <v>86</v>
      </c>
      <c r="U26" s="8" t="s">
        <v>42</v>
      </c>
      <c r="V26" s="9"/>
      <c r="AA26" s="37"/>
    </row>
    <row r="27" spans="1:31">
      <c r="A27" s="10"/>
      <c r="B27" s="11" t="s">
        <v>124</v>
      </c>
      <c r="C27" s="8" t="str">
        <f>テーブル一覧!E12</f>
        <v>T_SOD_ORDER_INFO</v>
      </c>
      <c r="D27" s="9"/>
      <c r="E27" s="2" t="s">
        <v>41</v>
      </c>
      <c r="F27" s="3"/>
      <c r="G27" s="3"/>
      <c r="H27" s="3"/>
      <c r="I27" s="37"/>
      <c r="J27" s="3"/>
      <c r="K27" s="3"/>
      <c r="L27" s="3"/>
      <c r="M27" s="38"/>
      <c r="S27" s="10"/>
      <c r="T27" s="11" t="s">
        <v>125</v>
      </c>
      <c r="U27" s="8" t="str">
        <f>C27</f>
        <v>T_SOD_ORDER_INFO</v>
      </c>
      <c r="V27" s="9"/>
      <c r="W27" s="2" t="s">
        <v>41</v>
      </c>
      <c r="X27" s="3"/>
      <c r="Y27" s="3"/>
      <c r="Z27" s="3"/>
      <c r="AA27" s="37"/>
      <c r="AB27" s="3"/>
      <c r="AC27" s="3"/>
      <c r="AD27" s="3"/>
      <c r="AE27" s="38"/>
    </row>
    <row r="28" ht="22.5" spans="1:31">
      <c r="A28" s="12" t="s">
        <v>0</v>
      </c>
      <c r="B28" s="13"/>
      <c r="C28" s="14" t="s">
        <v>126</v>
      </c>
      <c r="D28" s="15" t="s">
        <v>15</v>
      </c>
      <c r="E28" s="14" t="s">
        <v>16</v>
      </c>
      <c r="F28" s="16" t="s">
        <v>127</v>
      </c>
      <c r="G28" s="14" t="s">
        <v>127</v>
      </c>
      <c r="H28" s="14" t="s">
        <v>128</v>
      </c>
      <c r="I28" s="39" t="s">
        <v>129</v>
      </c>
      <c r="J28" s="14" t="s">
        <v>130</v>
      </c>
      <c r="K28" s="14" t="s">
        <v>131</v>
      </c>
      <c r="L28" s="14" t="s">
        <v>132</v>
      </c>
      <c r="M28" s="14" t="s">
        <v>6</v>
      </c>
      <c r="S28" s="12" t="s">
        <v>0</v>
      </c>
      <c r="T28" s="13"/>
      <c r="U28" s="14" t="s">
        <v>133</v>
      </c>
      <c r="V28" s="15" t="s">
        <v>86</v>
      </c>
      <c r="W28" s="14" t="s">
        <v>87</v>
      </c>
      <c r="X28" s="16" t="s">
        <v>134</v>
      </c>
      <c r="Y28" s="14" t="s">
        <v>134</v>
      </c>
      <c r="Z28" s="14" t="s">
        <v>128</v>
      </c>
      <c r="AA28" s="39" t="s">
        <v>135</v>
      </c>
      <c r="AB28" s="14" t="s">
        <v>130</v>
      </c>
      <c r="AC28" s="14" t="s">
        <v>136</v>
      </c>
      <c r="AD28" s="14" t="s">
        <v>132</v>
      </c>
      <c r="AE28" s="14" t="s">
        <v>137</v>
      </c>
    </row>
    <row r="29" s="2" customFormat="1" spans="1:31">
      <c r="A29" s="31">
        <v>1</v>
      </c>
      <c r="B29" s="59"/>
      <c r="C29" s="31" t="s">
        <v>413</v>
      </c>
      <c r="D29" s="87" t="s">
        <v>414</v>
      </c>
      <c r="E29" s="31" t="s">
        <v>646</v>
      </c>
      <c r="F29" s="31" t="s">
        <v>301</v>
      </c>
      <c r="G29" s="32" t="s">
        <v>302</v>
      </c>
      <c r="H29" s="31" t="s">
        <v>8</v>
      </c>
      <c r="I29" s="64" t="s">
        <v>22</v>
      </c>
      <c r="J29" s="31"/>
      <c r="K29" s="52"/>
      <c r="L29" s="31" t="s">
        <v>188</v>
      </c>
      <c r="M29" s="31"/>
      <c r="P29" s="70"/>
      <c r="S29" s="31">
        <v>1</v>
      </c>
      <c r="T29" s="59"/>
      <c r="U29" s="31" t="s">
        <v>413</v>
      </c>
      <c r="V29" s="87" t="s">
        <v>414</v>
      </c>
      <c r="W29" s="31" t="s">
        <v>647</v>
      </c>
      <c r="X29" s="31" t="s">
        <v>301</v>
      </c>
      <c r="Y29" s="79" t="s">
        <v>302</v>
      </c>
      <c r="Z29" s="31" t="s">
        <v>8</v>
      </c>
      <c r="AA29" s="64" t="s">
        <v>22</v>
      </c>
      <c r="AB29" s="31"/>
      <c r="AC29" s="52"/>
      <c r="AD29" s="31" t="s">
        <v>188</v>
      </c>
      <c r="AE29" s="31"/>
    </row>
    <row r="30" s="2" customFormat="1" spans="1:31">
      <c r="A30" s="31">
        <f t="shared" ref="A30:A61" si="2">A29+1</f>
        <v>2</v>
      </c>
      <c r="B30" s="59"/>
      <c r="C30" s="31" t="s">
        <v>619</v>
      </c>
      <c r="D30" s="96" t="s">
        <v>416</v>
      </c>
      <c r="E30" s="82" t="s">
        <v>620</v>
      </c>
      <c r="F30" s="31" t="s">
        <v>141</v>
      </c>
      <c r="G30" s="31" t="s">
        <v>142</v>
      </c>
      <c r="H30" s="31">
        <v>64</v>
      </c>
      <c r="I30" s="64" t="s">
        <v>22</v>
      </c>
      <c r="J30" s="226" t="s">
        <v>648</v>
      </c>
      <c r="K30" s="52"/>
      <c r="L30" s="31" t="s">
        <v>310</v>
      </c>
      <c r="M30" s="31"/>
      <c r="P30" s="70"/>
      <c r="S30" s="31">
        <f t="shared" ref="S30:S78" si="3">S29+1</f>
        <v>2</v>
      </c>
      <c r="T30" s="59"/>
      <c r="U30" s="31" t="s">
        <v>619</v>
      </c>
      <c r="V30" s="96" t="s">
        <v>416</v>
      </c>
      <c r="W30" s="82" t="s">
        <v>621</v>
      </c>
      <c r="X30" s="31" t="s">
        <v>141</v>
      </c>
      <c r="Y30" s="31" t="s">
        <v>142</v>
      </c>
      <c r="Z30" s="31">
        <v>64</v>
      </c>
      <c r="AA30" s="64" t="s">
        <v>22</v>
      </c>
      <c r="AB30" s="226" t="s">
        <v>648</v>
      </c>
      <c r="AC30" s="52"/>
      <c r="AD30" s="31" t="s">
        <v>310</v>
      </c>
      <c r="AE30" s="31"/>
    </row>
    <row r="31" s="2" customFormat="1" ht="101.25" customHeight="1" spans="1:31">
      <c r="A31" s="31">
        <f t="shared" si="2"/>
        <v>3</v>
      </c>
      <c r="B31" s="59" t="s">
        <v>649</v>
      </c>
      <c r="C31" s="31" t="s">
        <v>650</v>
      </c>
      <c r="D31" s="87" t="s">
        <v>651</v>
      </c>
      <c r="E31" s="31" t="s">
        <v>652</v>
      </c>
      <c r="F31" s="31" t="s">
        <v>153</v>
      </c>
      <c r="G31" s="31" t="s">
        <v>254</v>
      </c>
      <c r="H31" s="31" t="s">
        <v>8</v>
      </c>
      <c r="I31" s="64" t="s">
        <v>22</v>
      </c>
      <c r="J31" s="31">
        <v>0</v>
      </c>
      <c r="K31" s="87"/>
      <c r="L31" s="31"/>
      <c r="M31" s="31"/>
      <c r="P31" s="70"/>
      <c r="S31" s="31">
        <f t="shared" si="3"/>
        <v>3</v>
      </c>
      <c r="T31" s="59"/>
      <c r="U31" s="31" t="s">
        <v>650</v>
      </c>
      <c r="V31" s="87" t="s">
        <v>651</v>
      </c>
      <c r="W31" s="31" t="s">
        <v>653</v>
      </c>
      <c r="X31" s="31" t="s">
        <v>153</v>
      </c>
      <c r="Y31" s="31" t="s">
        <v>254</v>
      </c>
      <c r="Z31" s="31" t="s">
        <v>8</v>
      </c>
      <c r="AA31" s="64" t="s">
        <v>22</v>
      </c>
      <c r="AB31" s="31">
        <v>0</v>
      </c>
      <c r="AC31" s="87"/>
      <c r="AD31" s="31"/>
      <c r="AE31" s="31"/>
    </row>
    <row r="32" s="2" customFormat="1" spans="1:31">
      <c r="A32" s="31">
        <f t="shared" si="2"/>
        <v>4</v>
      </c>
      <c r="B32" s="59"/>
      <c r="C32" s="31" t="s">
        <v>196</v>
      </c>
      <c r="D32" s="87" t="s">
        <v>197</v>
      </c>
      <c r="E32" s="31" t="s">
        <v>209</v>
      </c>
      <c r="F32" s="31" t="s">
        <v>141</v>
      </c>
      <c r="G32" s="31" t="s">
        <v>142</v>
      </c>
      <c r="H32" s="31">
        <v>32</v>
      </c>
      <c r="I32" s="43" t="s">
        <v>22</v>
      </c>
      <c r="J32" s="226" t="s">
        <v>654</v>
      </c>
      <c r="K32" s="31"/>
      <c r="L32" s="31" t="s">
        <v>418</v>
      </c>
      <c r="M32" s="31" t="s">
        <v>655</v>
      </c>
      <c r="P32" s="70"/>
      <c r="S32" s="31">
        <f t="shared" si="3"/>
        <v>4</v>
      </c>
      <c r="T32" s="59"/>
      <c r="U32" s="31" t="s">
        <v>196</v>
      </c>
      <c r="V32" s="87" t="s">
        <v>197</v>
      </c>
      <c r="W32" s="31" t="s">
        <v>656</v>
      </c>
      <c r="X32" s="31" t="s">
        <v>141</v>
      </c>
      <c r="Y32" s="31" t="s">
        <v>142</v>
      </c>
      <c r="Z32" s="31">
        <v>32</v>
      </c>
      <c r="AA32" s="43" t="s">
        <v>22</v>
      </c>
      <c r="AB32" s="226" t="s">
        <v>654</v>
      </c>
      <c r="AC32" s="31"/>
      <c r="AD32" s="31" t="s">
        <v>418</v>
      </c>
      <c r="AE32" s="31" t="s">
        <v>213</v>
      </c>
    </row>
    <row r="33" s="2" customFormat="1" ht="22.5" spans="1:31">
      <c r="A33" s="31">
        <f t="shared" si="2"/>
        <v>5</v>
      </c>
      <c r="B33" s="59"/>
      <c r="C33" s="31" t="s">
        <v>205</v>
      </c>
      <c r="D33" s="87" t="s">
        <v>206</v>
      </c>
      <c r="E33" s="31" t="s">
        <v>657</v>
      </c>
      <c r="F33" s="31" t="s">
        <v>141</v>
      </c>
      <c r="G33" s="31" t="s">
        <v>142</v>
      </c>
      <c r="H33" s="31">
        <v>64</v>
      </c>
      <c r="I33" s="43" t="s">
        <v>22</v>
      </c>
      <c r="J33" s="226" t="s">
        <v>648</v>
      </c>
      <c r="K33" s="31"/>
      <c r="L33" s="31"/>
      <c r="M33" s="31"/>
      <c r="P33" s="70"/>
      <c r="S33" s="31">
        <f t="shared" si="3"/>
        <v>5</v>
      </c>
      <c r="T33" s="59"/>
      <c r="U33" s="31" t="s">
        <v>205</v>
      </c>
      <c r="V33" s="87" t="s">
        <v>206</v>
      </c>
      <c r="W33" s="31" t="s">
        <v>658</v>
      </c>
      <c r="X33" s="31" t="s">
        <v>141</v>
      </c>
      <c r="Y33" s="31" t="s">
        <v>142</v>
      </c>
      <c r="Z33" s="31">
        <v>64</v>
      </c>
      <c r="AA33" s="43" t="s">
        <v>22</v>
      </c>
      <c r="AB33" s="226" t="s">
        <v>648</v>
      </c>
      <c r="AC33" s="31"/>
      <c r="AD33" s="31"/>
      <c r="AE33" s="31"/>
    </row>
    <row r="34" s="2" customFormat="1" ht="56.25" spans="1:31">
      <c r="A34" s="31">
        <f t="shared" si="2"/>
        <v>6</v>
      </c>
      <c r="B34" s="59"/>
      <c r="C34" s="31" t="s">
        <v>344</v>
      </c>
      <c r="D34" s="87" t="s">
        <v>659</v>
      </c>
      <c r="E34" s="31" t="s">
        <v>660</v>
      </c>
      <c r="F34" s="31" t="s">
        <v>153</v>
      </c>
      <c r="G34" s="31" t="s">
        <v>254</v>
      </c>
      <c r="H34" s="31" t="s">
        <v>8</v>
      </c>
      <c r="I34" s="43" t="s">
        <v>22</v>
      </c>
      <c r="J34" s="31">
        <v>0</v>
      </c>
      <c r="K34" s="31"/>
      <c r="L34" s="31" t="s">
        <v>661</v>
      </c>
      <c r="M34" s="31"/>
      <c r="P34" s="70"/>
      <c r="S34" s="31">
        <f t="shared" si="3"/>
        <v>6</v>
      </c>
      <c r="T34" s="59"/>
      <c r="U34" s="31" t="s">
        <v>344</v>
      </c>
      <c r="V34" s="87" t="s">
        <v>659</v>
      </c>
      <c r="W34" s="31" t="s">
        <v>662</v>
      </c>
      <c r="X34" s="31" t="s">
        <v>153</v>
      </c>
      <c r="Y34" s="31" t="s">
        <v>254</v>
      </c>
      <c r="Z34" s="31" t="s">
        <v>8</v>
      </c>
      <c r="AA34" s="43" t="s">
        <v>22</v>
      </c>
      <c r="AB34" s="31">
        <v>0</v>
      </c>
      <c r="AC34" s="31"/>
      <c r="AD34" s="31" t="s">
        <v>661</v>
      </c>
      <c r="AE34" s="31"/>
    </row>
    <row r="35" s="2" customFormat="1" spans="1:31">
      <c r="A35" s="31">
        <f t="shared" si="2"/>
        <v>7</v>
      </c>
      <c r="B35" s="59"/>
      <c r="C35" s="31" t="s">
        <v>663</v>
      </c>
      <c r="D35" s="87" t="s">
        <v>664</v>
      </c>
      <c r="E35" s="31"/>
      <c r="F35" s="31" t="s">
        <v>141</v>
      </c>
      <c r="G35" s="31" t="s">
        <v>142</v>
      </c>
      <c r="H35" s="31">
        <v>32</v>
      </c>
      <c r="I35" s="98"/>
      <c r="J35" s="31"/>
      <c r="K35" s="31"/>
      <c r="L35" s="31"/>
      <c r="M35" s="31"/>
      <c r="P35" s="70"/>
      <c r="S35" s="31">
        <f t="shared" si="3"/>
        <v>7</v>
      </c>
      <c r="T35" s="59"/>
      <c r="U35" s="31" t="s">
        <v>663</v>
      </c>
      <c r="V35" s="87" t="s">
        <v>664</v>
      </c>
      <c r="W35" s="31"/>
      <c r="X35" s="31" t="s">
        <v>141</v>
      </c>
      <c r="Y35" s="31" t="s">
        <v>142</v>
      </c>
      <c r="Z35" s="31">
        <v>32</v>
      </c>
      <c r="AA35" s="98"/>
      <c r="AB35" s="31"/>
      <c r="AC35" s="31"/>
      <c r="AD35" s="31"/>
      <c r="AE35" s="31"/>
    </row>
    <row r="36" s="2" customFormat="1" ht="22.5" spans="1:31">
      <c r="A36" s="31">
        <f t="shared" si="2"/>
        <v>8</v>
      </c>
      <c r="B36" s="59"/>
      <c r="C36" s="31" t="s">
        <v>579</v>
      </c>
      <c r="D36" s="87" t="s">
        <v>665</v>
      </c>
      <c r="E36" s="31" t="s">
        <v>666</v>
      </c>
      <c r="F36" s="31" t="s">
        <v>172</v>
      </c>
      <c r="G36" s="31" t="s">
        <v>173</v>
      </c>
      <c r="H36" s="31" t="s">
        <v>8</v>
      </c>
      <c r="I36" s="43"/>
      <c r="J36" s="31"/>
      <c r="K36" s="31"/>
      <c r="L36" s="31"/>
      <c r="M36" s="31"/>
      <c r="P36" s="70"/>
      <c r="S36" s="31">
        <f t="shared" si="3"/>
        <v>8</v>
      </c>
      <c r="T36" s="59"/>
      <c r="U36" s="31" t="s">
        <v>579</v>
      </c>
      <c r="V36" s="87" t="s">
        <v>665</v>
      </c>
      <c r="W36" s="31" t="s">
        <v>667</v>
      </c>
      <c r="X36" s="31" t="s">
        <v>172</v>
      </c>
      <c r="Y36" s="31" t="s">
        <v>173</v>
      </c>
      <c r="Z36" s="31" t="s">
        <v>8</v>
      </c>
      <c r="AA36" s="43"/>
      <c r="AB36" s="31"/>
      <c r="AC36" s="31"/>
      <c r="AD36" s="31"/>
      <c r="AE36" s="31"/>
    </row>
    <row r="37" s="2" customFormat="1" spans="1:31">
      <c r="A37" s="31">
        <f t="shared" si="2"/>
        <v>9</v>
      </c>
      <c r="B37" s="59"/>
      <c r="C37" s="31" t="s">
        <v>668</v>
      </c>
      <c r="D37" s="87" t="s">
        <v>669</v>
      </c>
      <c r="E37" s="31" t="s">
        <v>670</v>
      </c>
      <c r="F37" s="31" t="s">
        <v>172</v>
      </c>
      <c r="G37" s="31" t="s">
        <v>173</v>
      </c>
      <c r="H37" s="31" t="s">
        <v>8</v>
      </c>
      <c r="I37" s="43"/>
      <c r="J37" s="31"/>
      <c r="K37" s="31"/>
      <c r="L37" s="31"/>
      <c r="M37" s="31"/>
      <c r="P37" s="70"/>
      <c r="S37" s="31">
        <f t="shared" si="3"/>
        <v>9</v>
      </c>
      <c r="T37" s="59"/>
      <c r="U37" s="31" t="s">
        <v>668</v>
      </c>
      <c r="V37" s="87" t="s">
        <v>669</v>
      </c>
      <c r="W37" s="31" t="s">
        <v>671</v>
      </c>
      <c r="X37" s="31" t="s">
        <v>172</v>
      </c>
      <c r="Y37" s="31" t="s">
        <v>173</v>
      </c>
      <c r="Z37" s="31" t="s">
        <v>8</v>
      </c>
      <c r="AA37" s="43"/>
      <c r="AB37" s="31"/>
      <c r="AC37" s="31"/>
      <c r="AD37" s="31"/>
      <c r="AE37" s="31"/>
    </row>
    <row r="38" s="2" customFormat="1" ht="33.75" spans="1:31">
      <c r="A38" s="31">
        <f t="shared" si="2"/>
        <v>10</v>
      </c>
      <c r="B38" s="59"/>
      <c r="C38" s="31" t="s">
        <v>554</v>
      </c>
      <c r="D38" s="87" t="s">
        <v>672</v>
      </c>
      <c r="E38" s="82" t="s">
        <v>673</v>
      </c>
      <c r="F38" s="31" t="s">
        <v>285</v>
      </c>
      <c r="G38" s="31" t="s">
        <v>286</v>
      </c>
      <c r="H38" s="31" t="s">
        <v>8</v>
      </c>
      <c r="I38" s="43" t="s">
        <v>22</v>
      </c>
      <c r="J38" s="31">
        <v>0</v>
      </c>
      <c r="K38" s="31"/>
      <c r="L38" s="31"/>
      <c r="M38" s="82" t="s">
        <v>674</v>
      </c>
      <c r="P38" s="70"/>
      <c r="S38" s="31">
        <f t="shared" si="3"/>
        <v>10</v>
      </c>
      <c r="T38" s="59"/>
      <c r="U38" s="31" t="s">
        <v>554</v>
      </c>
      <c r="V38" s="87" t="s">
        <v>672</v>
      </c>
      <c r="W38" s="82" t="s">
        <v>675</v>
      </c>
      <c r="X38" s="31" t="s">
        <v>285</v>
      </c>
      <c r="Y38" s="31" t="s">
        <v>286</v>
      </c>
      <c r="Z38" s="31" t="s">
        <v>8</v>
      </c>
      <c r="AA38" s="43" t="s">
        <v>22</v>
      </c>
      <c r="AB38" s="31">
        <v>0</v>
      </c>
      <c r="AC38" s="31"/>
      <c r="AD38" s="31"/>
      <c r="AE38" s="82" t="s">
        <v>676</v>
      </c>
    </row>
    <row r="39" s="2" customFormat="1" ht="33.75" spans="1:31">
      <c r="A39" s="31">
        <f t="shared" si="2"/>
        <v>11</v>
      </c>
      <c r="B39" s="59"/>
      <c r="C39" s="31" t="s">
        <v>677</v>
      </c>
      <c r="D39" s="87" t="s">
        <v>678</v>
      </c>
      <c r="E39" s="31" t="s">
        <v>679</v>
      </c>
      <c r="F39" s="31" t="s">
        <v>153</v>
      </c>
      <c r="G39" s="31" t="s">
        <v>254</v>
      </c>
      <c r="H39" s="31" t="s">
        <v>8</v>
      </c>
      <c r="I39" s="43"/>
      <c r="J39" s="31"/>
      <c r="K39" s="31"/>
      <c r="L39" s="31"/>
      <c r="M39" s="31"/>
      <c r="P39" s="70"/>
      <c r="S39" s="31">
        <f t="shared" si="3"/>
        <v>11</v>
      </c>
      <c r="T39" s="59"/>
      <c r="U39" s="31" t="s">
        <v>677</v>
      </c>
      <c r="V39" s="87" t="s">
        <v>678</v>
      </c>
      <c r="W39" s="31" t="s">
        <v>680</v>
      </c>
      <c r="X39" s="31" t="s">
        <v>153</v>
      </c>
      <c r="Y39" s="31" t="s">
        <v>254</v>
      </c>
      <c r="Z39" s="31" t="s">
        <v>8</v>
      </c>
      <c r="AA39" s="43"/>
      <c r="AB39" s="31"/>
      <c r="AC39" s="31"/>
      <c r="AD39" s="31"/>
      <c r="AE39" s="31"/>
    </row>
    <row r="40" s="2" customFormat="1" spans="1:31">
      <c r="A40" s="31">
        <f t="shared" si="2"/>
        <v>12</v>
      </c>
      <c r="B40" s="59"/>
      <c r="C40" s="31" t="s">
        <v>681</v>
      </c>
      <c r="D40" s="87" t="s">
        <v>682</v>
      </c>
      <c r="E40" s="226" t="s">
        <v>683</v>
      </c>
      <c r="F40" s="31" t="s">
        <v>141</v>
      </c>
      <c r="G40" s="31" t="s">
        <v>142</v>
      </c>
      <c r="H40" s="31">
        <v>10</v>
      </c>
      <c r="I40" s="43"/>
      <c r="J40" s="31"/>
      <c r="K40" s="31"/>
      <c r="L40" s="31"/>
      <c r="M40" s="31"/>
      <c r="P40" s="70"/>
      <c r="S40" s="31">
        <f t="shared" si="3"/>
        <v>12</v>
      </c>
      <c r="T40" s="59"/>
      <c r="U40" s="31" t="s">
        <v>681</v>
      </c>
      <c r="V40" s="87" t="s">
        <v>682</v>
      </c>
      <c r="W40" s="226" t="s">
        <v>683</v>
      </c>
      <c r="X40" s="31" t="s">
        <v>141</v>
      </c>
      <c r="Y40" s="31" t="s">
        <v>142</v>
      </c>
      <c r="Z40" s="31">
        <v>10</v>
      </c>
      <c r="AA40" s="43"/>
      <c r="AB40" s="31"/>
      <c r="AC40" s="31"/>
      <c r="AD40" s="31"/>
      <c r="AE40" s="31"/>
    </row>
    <row r="41" s="2" customFormat="1" spans="1:31">
      <c r="A41" s="31">
        <f t="shared" si="2"/>
        <v>13</v>
      </c>
      <c r="B41" s="59"/>
      <c r="C41" s="31" t="s">
        <v>684</v>
      </c>
      <c r="D41" s="87" t="s">
        <v>685</v>
      </c>
      <c r="E41" s="31"/>
      <c r="F41" s="31" t="s">
        <v>141</v>
      </c>
      <c r="G41" s="31" t="s">
        <v>142</v>
      </c>
      <c r="H41" s="31">
        <v>30</v>
      </c>
      <c r="I41" s="43" t="s">
        <v>22</v>
      </c>
      <c r="J41" s="226" t="s">
        <v>648</v>
      </c>
      <c r="K41" s="31"/>
      <c r="L41" s="31"/>
      <c r="M41" s="31"/>
      <c r="P41" s="70"/>
      <c r="S41" s="31">
        <f t="shared" si="3"/>
        <v>13</v>
      </c>
      <c r="T41" s="59"/>
      <c r="U41" s="31" t="s">
        <v>684</v>
      </c>
      <c r="V41" s="87" t="s">
        <v>685</v>
      </c>
      <c r="W41" s="31"/>
      <c r="X41" s="31" t="s">
        <v>141</v>
      </c>
      <c r="Y41" s="31" t="s">
        <v>142</v>
      </c>
      <c r="Z41" s="31">
        <v>30</v>
      </c>
      <c r="AA41" s="43" t="s">
        <v>22</v>
      </c>
      <c r="AB41" s="226" t="s">
        <v>648</v>
      </c>
      <c r="AC41" s="31"/>
      <c r="AD41" s="31"/>
      <c r="AE41" s="31"/>
    </row>
    <row r="42" s="2" customFormat="1" spans="1:31">
      <c r="A42" s="31">
        <f t="shared" si="2"/>
        <v>14</v>
      </c>
      <c r="B42" s="59"/>
      <c r="C42" s="31" t="s">
        <v>686</v>
      </c>
      <c r="D42" s="87" t="s">
        <v>687</v>
      </c>
      <c r="E42" s="31"/>
      <c r="F42" s="31" t="s">
        <v>141</v>
      </c>
      <c r="G42" s="31" t="s">
        <v>142</v>
      </c>
      <c r="H42" s="31">
        <v>30</v>
      </c>
      <c r="I42" s="43" t="s">
        <v>22</v>
      </c>
      <c r="J42" s="226" t="s">
        <v>648</v>
      </c>
      <c r="K42" s="31"/>
      <c r="L42" s="31"/>
      <c r="M42" s="31"/>
      <c r="P42" s="70"/>
      <c r="S42" s="31">
        <f t="shared" si="3"/>
        <v>14</v>
      </c>
      <c r="T42" s="59"/>
      <c r="U42" s="31" t="s">
        <v>686</v>
      </c>
      <c r="V42" s="87" t="s">
        <v>687</v>
      </c>
      <c r="W42" s="31"/>
      <c r="X42" s="31" t="s">
        <v>141</v>
      </c>
      <c r="Y42" s="31" t="s">
        <v>142</v>
      </c>
      <c r="Z42" s="31">
        <v>30</v>
      </c>
      <c r="AA42" s="43" t="s">
        <v>22</v>
      </c>
      <c r="AB42" s="226" t="s">
        <v>648</v>
      </c>
      <c r="AC42" s="31"/>
      <c r="AD42" s="31"/>
      <c r="AE42" s="31"/>
    </row>
    <row r="43" s="2" customFormat="1" spans="1:31">
      <c r="A43" s="31">
        <f t="shared" si="2"/>
        <v>15</v>
      </c>
      <c r="B43" s="59"/>
      <c r="C43" s="31" t="s">
        <v>688</v>
      </c>
      <c r="D43" s="87" t="s">
        <v>689</v>
      </c>
      <c r="E43" s="31"/>
      <c r="F43" s="31" t="s">
        <v>141</v>
      </c>
      <c r="G43" s="31" t="s">
        <v>142</v>
      </c>
      <c r="H43" s="31">
        <v>30</v>
      </c>
      <c r="I43" s="43" t="s">
        <v>22</v>
      </c>
      <c r="J43" s="226" t="s">
        <v>648</v>
      </c>
      <c r="K43" s="31"/>
      <c r="L43" s="31"/>
      <c r="M43" s="31"/>
      <c r="P43" s="70"/>
      <c r="S43" s="31">
        <f t="shared" si="3"/>
        <v>15</v>
      </c>
      <c r="T43" s="59"/>
      <c r="U43" s="31" t="s">
        <v>688</v>
      </c>
      <c r="V43" s="87" t="s">
        <v>689</v>
      </c>
      <c r="W43" s="31"/>
      <c r="X43" s="31" t="s">
        <v>141</v>
      </c>
      <c r="Y43" s="31" t="s">
        <v>142</v>
      </c>
      <c r="Z43" s="31">
        <v>30</v>
      </c>
      <c r="AA43" s="43" t="s">
        <v>22</v>
      </c>
      <c r="AB43" s="226" t="s">
        <v>648</v>
      </c>
      <c r="AC43" s="31"/>
      <c r="AD43" s="31"/>
      <c r="AE43" s="31"/>
    </row>
    <row r="44" s="2" customFormat="1" spans="1:31">
      <c r="A44" s="31">
        <f t="shared" si="2"/>
        <v>16</v>
      </c>
      <c r="B44" s="59"/>
      <c r="C44" s="31" t="s">
        <v>690</v>
      </c>
      <c r="D44" s="87" t="s">
        <v>691</v>
      </c>
      <c r="E44" s="31"/>
      <c r="F44" s="31" t="s">
        <v>141</v>
      </c>
      <c r="G44" s="31" t="s">
        <v>142</v>
      </c>
      <c r="H44" s="31">
        <v>30</v>
      </c>
      <c r="I44" s="43" t="s">
        <v>22</v>
      </c>
      <c r="J44" s="226" t="s">
        <v>648</v>
      </c>
      <c r="K44" s="31"/>
      <c r="L44" s="31"/>
      <c r="M44" s="31"/>
      <c r="P44" s="70"/>
      <c r="S44" s="31">
        <f t="shared" si="3"/>
        <v>16</v>
      </c>
      <c r="T44" s="59"/>
      <c r="U44" s="31" t="s">
        <v>690</v>
      </c>
      <c r="V44" s="87" t="s">
        <v>691</v>
      </c>
      <c r="W44" s="31"/>
      <c r="X44" s="31" t="s">
        <v>141</v>
      </c>
      <c r="Y44" s="31" t="s">
        <v>142</v>
      </c>
      <c r="Z44" s="31">
        <v>30</v>
      </c>
      <c r="AA44" s="43" t="s">
        <v>22</v>
      </c>
      <c r="AB44" s="226" t="s">
        <v>648</v>
      </c>
      <c r="AC44" s="31"/>
      <c r="AD44" s="31"/>
      <c r="AE44" s="31"/>
    </row>
    <row r="45" s="2" customFormat="1" spans="1:31">
      <c r="A45" s="31">
        <f t="shared" si="2"/>
        <v>17</v>
      </c>
      <c r="B45" s="59"/>
      <c r="C45" s="31" t="s">
        <v>692</v>
      </c>
      <c r="D45" s="87" t="s">
        <v>457</v>
      </c>
      <c r="E45" s="31" t="s">
        <v>693</v>
      </c>
      <c r="F45" s="31" t="s">
        <v>141</v>
      </c>
      <c r="G45" s="31" t="s">
        <v>142</v>
      </c>
      <c r="H45" s="31">
        <v>7</v>
      </c>
      <c r="I45" s="43" t="s">
        <v>22</v>
      </c>
      <c r="J45" s="226" t="s">
        <v>648</v>
      </c>
      <c r="K45" s="31"/>
      <c r="L45" s="31"/>
      <c r="M45" s="31"/>
      <c r="P45" s="70"/>
      <c r="S45" s="31">
        <f t="shared" si="3"/>
        <v>17</v>
      </c>
      <c r="T45" s="59"/>
      <c r="U45" s="31" t="s">
        <v>692</v>
      </c>
      <c r="V45" s="87" t="s">
        <v>457</v>
      </c>
      <c r="W45" s="31" t="s">
        <v>694</v>
      </c>
      <c r="X45" s="31" t="s">
        <v>141</v>
      </c>
      <c r="Y45" s="31" t="s">
        <v>142</v>
      </c>
      <c r="Z45" s="31">
        <v>7</v>
      </c>
      <c r="AA45" s="43" t="s">
        <v>22</v>
      </c>
      <c r="AB45" s="226" t="s">
        <v>648</v>
      </c>
      <c r="AC45" s="31"/>
      <c r="AD45" s="31"/>
      <c r="AE45" s="31"/>
    </row>
    <row r="46" s="2" customFormat="1" spans="1:31">
      <c r="A46" s="31">
        <f t="shared" si="2"/>
        <v>18</v>
      </c>
      <c r="B46" s="59"/>
      <c r="C46" s="31" t="s">
        <v>695</v>
      </c>
      <c r="D46" s="87" t="s">
        <v>459</v>
      </c>
      <c r="E46" s="31" t="s">
        <v>696</v>
      </c>
      <c r="F46" s="31" t="s">
        <v>141</v>
      </c>
      <c r="G46" s="31" t="s">
        <v>142</v>
      </c>
      <c r="H46" s="31">
        <v>4</v>
      </c>
      <c r="I46" s="43" t="s">
        <v>22</v>
      </c>
      <c r="J46" s="226" t="s">
        <v>648</v>
      </c>
      <c r="K46" s="31"/>
      <c r="L46" s="31"/>
      <c r="M46" s="31"/>
      <c r="P46" s="70"/>
      <c r="S46" s="31">
        <f t="shared" si="3"/>
        <v>18</v>
      </c>
      <c r="T46" s="59"/>
      <c r="U46" s="31" t="s">
        <v>695</v>
      </c>
      <c r="V46" s="87" t="s">
        <v>459</v>
      </c>
      <c r="W46" s="31" t="s">
        <v>697</v>
      </c>
      <c r="X46" s="31" t="s">
        <v>141</v>
      </c>
      <c r="Y46" s="31" t="s">
        <v>142</v>
      </c>
      <c r="Z46" s="31">
        <v>4</v>
      </c>
      <c r="AA46" s="43" t="s">
        <v>22</v>
      </c>
      <c r="AB46" s="226" t="s">
        <v>648</v>
      </c>
      <c r="AC46" s="31"/>
      <c r="AD46" s="31"/>
      <c r="AE46" s="31"/>
    </row>
    <row r="47" s="2" customFormat="1" spans="1:31">
      <c r="A47" s="31">
        <f t="shared" si="2"/>
        <v>19</v>
      </c>
      <c r="B47" s="59"/>
      <c r="C47" s="31" t="s">
        <v>698</v>
      </c>
      <c r="D47" s="87" t="s">
        <v>461</v>
      </c>
      <c r="E47" s="31" t="s">
        <v>699</v>
      </c>
      <c r="F47" s="31" t="s">
        <v>141</v>
      </c>
      <c r="G47" s="31" t="s">
        <v>142</v>
      </c>
      <c r="H47" s="31">
        <v>104</v>
      </c>
      <c r="I47" s="43" t="s">
        <v>22</v>
      </c>
      <c r="J47" s="226" t="s">
        <v>648</v>
      </c>
      <c r="K47" s="31"/>
      <c r="L47" s="31"/>
      <c r="M47" s="31"/>
      <c r="P47" s="70"/>
      <c r="S47" s="31">
        <f t="shared" si="3"/>
        <v>19</v>
      </c>
      <c r="T47" s="59"/>
      <c r="U47" s="31" t="s">
        <v>698</v>
      </c>
      <c r="V47" s="87" t="s">
        <v>461</v>
      </c>
      <c r="W47" s="31" t="s">
        <v>700</v>
      </c>
      <c r="X47" s="31" t="s">
        <v>141</v>
      </c>
      <c r="Y47" s="31" t="s">
        <v>142</v>
      </c>
      <c r="Z47" s="31">
        <v>104</v>
      </c>
      <c r="AA47" s="43" t="s">
        <v>22</v>
      </c>
      <c r="AB47" s="226" t="s">
        <v>648</v>
      </c>
      <c r="AC47" s="31"/>
      <c r="AD47" s="31"/>
      <c r="AE47" s="31"/>
    </row>
    <row r="48" s="2" customFormat="1" spans="1:31">
      <c r="A48" s="31">
        <f t="shared" si="2"/>
        <v>20</v>
      </c>
      <c r="B48" s="59"/>
      <c r="C48" s="31" t="s">
        <v>701</v>
      </c>
      <c r="D48" s="87" t="s">
        <v>463</v>
      </c>
      <c r="E48" s="31" t="s">
        <v>702</v>
      </c>
      <c r="F48" s="31" t="s">
        <v>141</v>
      </c>
      <c r="G48" s="31" t="s">
        <v>142</v>
      </c>
      <c r="H48" s="31">
        <v>100</v>
      </c>
      <c r="I48" s="43"/>
      <c r="J48" s="31"/>
      <c r="K48" s="31"/>
      <c r="L48" s="31"/>
      <c r="M48" s="31"/>
      <c r="P48" s="70"/>
      <c r="S48" s="31">
        <f t="shared" si="3"/>
        <v>20</v>
      </c>
      <c r="T48" s="59"/>
      <c r="U48" s="31" t="s">
        <v>701</v>
      </c>
      <c r="V48" s="87" t="s">
        <v>463</v>
      </c>
      <c r="W48" s="31" t="s">
        <v>703</v>
      </c>
      <c r="X48" s="31" t="s">
        <v>141</v>
      </c>
      <c r="Y48" s="31" t="s">
        <v>142</v>
      </c>
      <c r="Z48" s="31">
        <v>100</v>
      </c>
      <c r="AA48" s="43"/>
      <c r="AB48" s="31"/>
      <c r="AC48" s="31"/>
      <c r="AD48" s="31"/>
      <c r="AE48" s="31"/>
    </row>
    <row r="49" s="2" customFormat="1" spans="1:31">
      <c r="A49" s="31">
        <f t="shared" si="2"/>
        <v>21</v>
      </c>
      <c r="B49" s="59"/>
      <c r="C49" s="31" t="s">
        <v>704</v>
      </c>
      <c r="D49" s="87" t="s">
        <v>465</v>
      </c>
      <c r="E49" s="31" t="s">
        <v>705</v>
      </c>
      <c r="F49" s="31" t="s">
        <v>141</v>
      </c>
      <c r="G49" s="31" t="s">
        <v>142</v>
      </c>
      <c r="H49" s="31">
        <v>100</v>
      </c>
      <c r="I49" s="43"/>
      <c r="J49" s="31"/>
      <c r="K49" s="31"/>
      <c r="L49" s="31"/>
      <c r="M49" s="31"/>
      <c r="P49" s="70"/>
      <c r="S49" s="31">
        <f t="shared" si="3"/>
        <v>21</v>
      </c>
      <c r="T49" s="59"/>
      <c r="U49" s="31" t="s">
        <v>704</v>
      </c>
      <c r="V49" s="87" t="s">
        <v>465</v>
      </c>
      <c r="W49" s="31" t="s">
        <v>706</v>
      </c>
      <c r="X49" s="31" t="s">
        <v>141</v>
      </c>
      <c r="Y49" s="31" t="s">
        <v>142</v>
      </c>
      <c r="Z49" s="31">
        <v>100</v>
      </c>
      <c r="AA49" s="43"/>
      <c r="AB49" s="31"/>
      <c r="AC49" s="31"/>
      <c r="AD49" s="31"/>
      <c r="AE49" s="31"/>
    </row>
    <row r="50" s="2" customFormat="1" spans="1:31">
      <c r="A50" s="31">
        <f t="shared" si="2"/>
        <v>22</v>
      </c>
      <c r="B50" s="59"/>
      <c r="C50" s="31" t="s">
        <v>707</v>
      </c>
      <c r="D50" s="87" t="s">
        <v>467</v>
      </c>
      <c r="E50" s="31" t="s">
        <v>693</v>
      </c>
      <c r="F50" s="31" t="s">
        <v>141</v>
      </c>
      <c r="G50" s="31" t="s">
        <v>142</v>
      </c>
      <c r="H50" s="31">
        <v>11</v>
      </c>
      <c r="I50" s="43" t="s">
        <v>22</v>
      </c>
      <c r="J50" s="226" t="s">
        <v>648</v>
      </c>
      <c r="K50" s="31"/>
      <c r="L50" s="31"/>
      <c r="M50" s="31"/>
      <c r="P50" s="70"/>
      <c r="S50" s="31">
        <f t="shared" si="3"/>
        <v>22</v>
      </c>
      <c r="T50" s="59"/>
      <c r="U50" s="31" t="s">
        <v>707</v>
      </c>
      <c r="V50" s="87" t="s">
        <v>467</v>
      </c>
      <c r="W50" s="31" t="s">
        <v>694</v>
      </c>
      <c r="X50" s="31" t="s">
        <v>141</v>
      </c>
      <c r="Y50" s="31" t="s">
        <v>142</v>
      </c>
      <c r="Z50" s="31">
        <v>11</v>
      </c>
      <c r="AA50" s="43" t="s">
        <v>22</v>
      </c>
      <c r="AB50" s="226" t="s">
        <v>648</v>
      </c>
      <c r="AC50" s="31"/>
      <c r="AD50" s="31"/>
      <c r="AE50" s="31"/>
    </row>
    <row r="51" s="2" customFormat="1" spans="1:31">
      <c r="A51" s="32">
        <f t="shared" si="2"/>
        <v>23</v>
      </c>
      <c r="B51" s="51"/>
      <c r="C51" s="32" t="s">
        <v>708</v>
      </c>
      <c r="D51" s="52" t="s">
        <v>709</v>
      </c>
      <c r="E51" s="32" t="s">
        <v>693</v>
      </c>
      <c r="F51" s="32" t="s">
        <v>141</v>
      </c>
      <c r="G51" s="32" t="s">
        <v>142</v>
      </c>
      <c r="H51" s="32">
        <v>11</v>
      </c>
      <c r="I51" s="64"/>
      <c r="J51" s="227" t="s">
        <v>648</v>
      </c>
      <c r="K51" s="32"/>
      <c r="L51" s="32"/>
      <c r="M51" s="32" t="s">
        <v>710</v>
      </c>
      <c r="P51" s="70"/>
      <c r="S51" s="32">
        <f t="shared" si="3"/>
        <v>23</v>
      </c>
      <c r="T51" s="51"/>
      <c r="U51" s="32" t="s">
        <v>708</v>
      </c>
      <c r="V51" s="52" t="s">
        <v>709</v>
      </c>
      <c r="W51" s="31" t="s">
        <v>694</v>
      </c>
      <c r="X51" s="32" t="s">
        <v>141</v>
      </c>
      <c r="Y51" s="32" t="s">
        <v>142</v>
      </c>
      <c r="Z51" s="32">
        <v>11</v>
      </c>
      <c r="AA51" s="64"/>
      <c r="AB51" s="227" t="s">
        <v>648</v>
      </c>
      <c r="AC51" s="32"/>
      <c r="AD51" s="32"/>
      <c r="AE51" s="32" t="s">
        <v>711</v>
      </c>
    </row>
    <row r="52" s="2" customFormat="1" spans="1:31">
      <c r="A52" s="31">
        <f t="shared" si="2"/>
        <v>24</v>
      </c>
      <c r="B52" s="59"/>
      <c r="C52" s="31" t="s">
        <v>712</v>
      </c>
      <c r="D52" s="87" t="s">
        <v>473</v>
      </c>
      <c r="E52" s="31"/>
      <c r="F52" s="31" t="s">
        <v>141</v>
      </c>
      <c r="G52" s="31" t="s">
        <v>142</v>
      </c>
      <c r="H52" s="31">
        <v>256</v>
      </c>
      <c r="I52" s="43" t="s">
        <v>22</v>
      </c>
      <c r="J52" s="226" t="s">
        <v>648</v>
      </c>
      <c r="K52" s="31"/>
      <c r="L52" s="31"/>
      <c r="M52" s="31"/>
      <c r="P52" s="70"/>
      <c r="S52" s="31">
        <f t="shared" si="3"/>
        <v>24</v>
      </c>
      <c r="T52" s="59"/>
      <c r="U52" s="31" t="s">
        <v>712</v>
      </c>
      <c r="V52" s="87" t="s">
        <v>473</v>
      </c>
      <c r="W52" s="31"/>
      <c r="X52" s="31" t="s">
        <v>141</v>
      </c>
      <c r="Y52" s="31" t="s">
        <v>142</v>
      </c>
      <c r="Z52" s="31">
        <v>256</v>
      </c>
      <c r="AA52" s="43" t="s">
        <v>22</v>
      </c>
      <c r="AB52" s="226" t="s">
        <v>648</v>
      </c>
      <c r="AC52" s="31"/>
      <c r="AD52" s="31"/>
      <c r="AE52" s="31"/>
    </row>
    <row r="53" s="2" customFormat="1" spans="1:31">
      <c r="A53" s="61">
        <f t="shared" si="2"/>
        <v>25</v>
      </c>
      <c r="B53" s="62"/>
      <c r="C53" s="61" t="s">
        <v>713</v>
      </c>
      <c r="D53" s="63" t="s">
        <v>714</v>
      </c>
      <c r="E53" s="61"/>
      <c r="F53" s="61" t="s">
        <v>141</v>
      </c>
      <c r="G53" s="61" t="s">
        <v>142</v>
      </c>
      <c r="H53" s="61">
        <v>10</v>
      </c>
      <c r="I53" s="69"/>
      <c r="J53" s="61"/>
      <c r="K53" s="61"/>
      <c r="L53" s="61"/>
      <c r="M53" s="61" t="s">
        <v>230</v>
      </c>
      <c r="P53" s="70"/>
      <c r="S53" s="61">
        <f t="shared" si="3"/>
        <v>25</v>
      </c>
      <c r="T53" s="62"/>
      <c r="U53" s="61" t="s">
        <v>713</v>
      </c>
      <c r="V53" s="63" t="s">
        <v>714</v>
      </c>
      <c r="W53" s="61"/>
      <c r="X53" s="61" t="s">
        <v>141</v>
      </c>
      <c r="Y53" s="61" t="s">
        <v>142</v>
      </c>
      <c r="Z53" s="61">
        <v>10</v>
      </c>
      <c r="AA53" s="69"/>
      <c r="AB53" s="61"/>
      <c r="AC53" s="61"/>
      <c r="AD53" s="61"/>
      <c r="AE53" s="61" t="s">
        <v>230</v>
      </c>
    </row>
    <row r="54" s="2" customFormat="1" spans="1:31">
      <c r="A54" s="61">
        <f t="shared" si="2"/>
        <v>26</v>
      </c>
      <c r="B54" s="62"/>
      <c r="C54" s="61" t="s">
        <v>715</v>
      </c>
      <c r="D54" s="63" t="s">
        <v>716</v>
      </c>
      <c r="E54" s="61"/>
      <c r="F54" s="61" t="s">
        <v>141</v>
      </c>
      <c r="G54" s="61" t="s">
        <v>142</v>
      </c>
      <c r="H54" s="61">
        <v>2</v>
      </c>
      <c r="I54" s="69"/>
      <c r="J54" s="61"/>
      <c r="K54" s="61"/>
      <c r="L54" s="61"/>
      <c r="M54" s="61" t="s">
        <v>230</v>
      </c>
      <c r="P54" s="70"/>
      <c r="S54" s="61">
        <f t="shared" si="3"/>
        <v>26</v>
      </c>
      <c r="T54" s="62"/>
      <c r="U54" s="61" t="s">
        <v>715</v>
      </c>
      <c r="V54" s="63" t="s">
        <v>716</v>
      </c>
      <c r="W54" s="61"/>
      <c r="X54" s="61" t="s">
        <v>141</v>
      </c>
      <c r="Y54" s="61" t="s">
        <v>142</v>
      </c>
      <c r="Z54" s="61">
        <v>2</v>
      </c>
      <c r="AA54" s="69"/>
      <c r="AB54" s="61"/>
      <c r="AC54" s="61"/>
      <c r="AD54" s="61"/>
      <c r="AE54" s="61" t="s">
        <v>230</v>
      </c>
    </row>
    <row r="55" s="2" customFormat="1" spans="1:31">
      <c r="A55" s="61">
        <f t="shared" si="2"/>
        <v>27</v>
      </c>
      <c r="B55" s="62"/>
      <c r="C55" s="61" t="s">
        <v>717</v>
      </c>
      <c r="D55" s="63" t="s">
        <v>718</v>
      </c>
      <c r="E55" s="61"/>
      <c r="F55" s="61" t="s">
        <v>141</v>
      </c>
      <c r="G55" s="61" t="s">
        <v>142</v>
      </c>
      <c r="H55" s="61">
        <v>100</v>
      </c>
      <c r="I55" s="69"/>
      <c r="J55" s="61"/>
      <c r="K55" s="61"/>
      <c r="L55" s="61"/>
      <c r="M55" s="61" t="s">
        <v>230</v>
      </c>
      <c r="P55" s="70"/>
      <c r="S55" s="61">
        <f t="shared" si="3"/>
        <v>27</v>
      </c>
      <c r="T55" s="62"/>
      <c r="U55" s="61" t="s">
        <v>717</v>
      </c>
      <c r="V55" s="63" t="s">
        <v>718</v>
      </c>
      <c r="W55" s="61"/>
      <c r="X55" s="61" t="s">
        <v>141</v>
      </c>
      <c r="Y55" s="61" t="s">
        <v>142</v>
      </c>
      <c r="Z55" s="61">
        <v>100</v>
      </c>
      <c r="AA55" s="69"/>
      <c r="AB55" s="61"/>
      <c r="AC55" s="61"/>
      <c r="AD55" s="61"/>
      <c r="AE55" s="61" t="s">
        <v>230</v>
      </c>
    </row>
    <row r="56" s="2" customFormat="1" spans="1:31">
      <c r="A56" s="31">
        <f t="shared" si="2"/>
        <v>28</v>
      </c>
      <c r="B56" s="59"/>
      <c r="C56" s="31" t="s">
        <v>719</v>
      </c>
      <c r="D56" s="87" t="s">
        <v>720</v>
      </c>
      <c r="E56" s="31"/>
      <c r="F56" s="31" t="s">
        <v>141</v>
      </c>
      <c r="G56" s="31" t="s">
        <v>142</v>
      </c>
      <c r="H56" s="31">
        <v>256</v>
      </c>
      <c r="I56" s="43"/>
      <c r="J56" s="31"/>
      <c r="K56" s="31"/>
      <c r="L56" s="31"/>
      <c r="M56" s="31"/>
      <c r="P56" s="70"/>
      <c r="S56" s="31">
        <f t="shared" si="3"/>
        <v>28</v>
      </c>
      <c r="T56" s="59"/>
      <c r="U56" s="31" t="s">
        <v>719</v>
      </c>
      <c r="V56" s="87" t="s">
        <v>720</v>
      </c>
      <c r="W56" s="31"/>
      <c r="X56" s="31" t="s">
        <v>141</v>
      </c>
      <c r="Y56" s="31" t="s">
        <v>142</v>
      </c>
      <c r="Z56" s="31">
        <v>256</v>
      </c>
      <c r="AA56" s="43"/>
      <c r="AB56" s="31"/>
      <c r="AC56" s="31"/>
      <c r="AD56" s="31"/>
      <c r="AE56" s="31"/>
    </row>
    <row r="57" s="2" customFormat="1" spans="1:31">
      <c r="A57" s="31">
        <f t="shared" si="2"/>
        <v>29</v>
      </c>
      <c r="B57" s="59"/>
      <c r="C57" s="31" t="s">
        <v>721</v>
      </c>
      <c r="D57" s="87" t="s">
        <v>722</v>
      </c>
      <c r="E57" s="31"/>
      <c r="F57" s="31" t="s">
        <v>141</v>
      </c>
      <c r="G57" s="31" t="s">
        <v>142</v>
      </c>
      <c r="H57" s="31">
        <v>256</v>
      </c>
      <c r="I57" s="43"/>
      <c r="J57" s="31"/>
      <c r="K57" s="31"/>
      <c r="L57" s="31"/>
      <c r="M57" s="31"/>
      <c r="P57" s="70"/>
      <c r="S57" s="31">
        <f t="shared" si="3"/>
        <v>29</v>
      </c>
      <c r="T57" s="59"/>
      <c r="U57" s="31" t="s">
        <v>721</v>
      </c>
      <c r="V57" s="87" t="s">
        <v>722</v>
      </c>
      <c r="W57" s="31"/>
      <c r="X57" s="31" t="s">
        <v>141</v>
      </c>
      <c r="Y57" s="31" t="s">
        <v>142</v>
      </c>
      <c r="Z57" s="31">
        <v>256</v>
      </c>
      <c r="AA57" s="43"/>
      <c r="AB57" s="31"/>
      <c r="AC57" s="31"/>
      <c r="AD57" s="31"/>
      <c r="AE57" s="31"/>
    </row>
    <row r="58" s="2" customFormat="1" spans="1:31">
      <c r="A58" s="61">
        <f t="shared" si="2"/>
        <v>30</v>
      </c>
      <c r="B58" s="62"/>
      <c r="C58" s="61" t="s">
        <v>723</v>
      </c>
      <c r="D58" s="63" t="s">
        <v>724</v>
      </c>
      <c r="E58" s="61"/>
      <c r="F58" s="61" t="s">
        <v>141</v>
      </c>
      <c r="G58" s="61" t="s">
        <v>142</v>
      </c>
      <c r="H58" s="61">
        <v>10</v>
      </c>
      <c r="I58" s="69"/>
      <c r="J58" s="61"/>
      <c r="K58" s="61"/>
      <c r="L58" s="61"/>
      <c r="M58" s="61" t="s">
        <v>230</v>
      </c>
      <c r="P58" s="70"/>
      <c r="S58" s="61">
        <f t="shared" si="3"/>
        <v>30</v>
      </c>
      <c r="T58" s="62"/>
      <c r="U58" s="61" t="s">
        <v>723</v>
      </c>
      <c r="V58" s="63" t="s">
        <v>724</v>
      </c>
      <c r="W58" s="61"/>
      <c r="X58" s="61" t="s">
        <v>141</v>
      </c>
      <c r="Y58" s="61" t="s">
        <v>142</v>
      </c>
      <c r="Z58" s="61">
        <v>10</v>
      </c>
      <c r="AA58" s="69"/>
      <c r="AB58" s="61"/>
      <c r="AC58" s="61"/>
      <c r="AD58" s="61"/>
      <c r="AE58" s="61" t="s">
        <v>230</v>
      </c>
    </row>
    <row r="59" s="2" customFormat="1" spans="1:31">
      <c r="A59" s="61">
        <f t="shared" si="2"/>
        <v>31</v>
      </c>
      <c r="B59" s="62"/>
      <c r="C59" s="61" t="s">
        <v>725</v>
      </c>
      <c r="D59" s="63" t="s">
        <v>726</v>
      </c>
      <c r="E59" s="61"/>
      <c r="F59" s="61" t="s">
        <v>141</v>
      </c>
      <c r="G59" s="61" t="s">
        <v>142</v>
      </c>
      <c r="H59" s="61">
        <v>3</v>
      </c>
      <c r="I59" s="69"/>
      <c r="J59" s="61"/>
      <c r="K59" s="63"/>
      <c r="L59" s="61"/>
      <c r="M59" s="61" t="s">
        <v>230</v>
      </c>
      <c r="P59" s="70"/>
      <c r="S59" s="61">
        <f t="shared" si="3"/>
        <v>31</v>
      </c>
      <c r="T59" s="62"/>
      <c r="U59" s="61" t="s">
        <v>725</v>
      </c>
      <c r="V59" s="63" t="s">
        <v>726</v>
      </c>
      <c r="W59" s="61"/>
      <c r="X59" s="61" t="s">
        <v>141</v>
      </c>
      <c r="Y59" s="61" t="s">
        <v>142</v>
      </c>
      <c r="Z59" s="61">
        <v>3</v>
      </c>
      <c r="AA59" s="69"/>
      <c r="AB59" s="61"/>
      <c r="AC59" s="63"/>
      <c r="AD59" s="61"/>
      <c r="AE59" s="61" t="s">
        <v>230</v>
      </c>
    </row>
    <row r="60" s="2" customFormat="1" spans="1:31">
      <c r="A60" s="61">
        <f t="shared" si="2"/>
        <v>32</v>
      </c>
      <c r="B60" s="62"/>
      <c r="C60" s="61" t="s">
        <v>727</v>
      </c>
      <c r="D60" s="63" t="s">
        <v>728</v>
      </c>
      <c r="E60" s="61"/>
      <c r="F60" s="61" t="s">
        <v>141</v>
      </c>
      <c r="G60" s="61" t="s">
        <v>142</v>
      </c>
      <c r="H60" s="61">
        <v>4</v>
      </c>
      <c r="I60" s="69"/>
      <c r="J60" s="61"/>
      <c r="K60" s="63"/>
      <c r="L60" s="61"/>
      <c r="M60" s="61" t="s">
        <v>230</v>
      </c>
      <c r="P60" s="70"/>
      <c r="S60" s="61">
        <f t="shared" si="3"/>
        <v>32</v>
      </c>
      <c r="T60" s="62"/>
      <c r="U60" s="61" t="s">
        <v>727</v>
      </c>
      <c r="V60" s="63" t="s">
        <v>728</v>
      </c>
      <c r="W60" s="61"/>
      <c r="X60" s="61" t="s">
        <v>141</v>
      </c>
      <c r="Y60" s="61" t="s">
        <v>142</v>
      </c>
      <c r="Z60" s="61">
        <v>4</v>
      </c>
      <c r="AA60" s="69"/>
      <c r="AB60" s="61"/>
      <c r="AC60" s="63"/>
      <c r="AD60" s="61"/>
      <c r="AE60" s="61" t="s">
        <v>230</v>
      </c>
    </row>
    <row r="61" s="2" customFormat="1" spans="1:31">
      <c r="A61" s="61">
        <f t="shared" si="2"/>
        <v>33</v>
      </c>
      <c r="B61" s="62"/>
      <c r="C61" s="61" t="s">
        <v>729</v>
      </c>
      <c r="D61" s="63" t="s">
        <v>730</v>
      </c>
      <c r="E61" s="61"/>
      <c r="F61" s="61" t="s">
        <v>141</v>
      </c>
      <c r="G61" s="61" t="s">
        <v>142</v>
      </c>
      <c r="H61" s="61">
        <v>6</v>
      </c>
      <c r="I61" s="69"/>
      <c r="J61" s="229" t="s">
        <v>731</v>
      </c>
      <c r="K61" s="63"/>
      <c r="L61" s="61"/>
      <c r="M61" s="61" t="s">
        <v>230</v>
      </c>
      <c r="P61" s="70"/>
      <c r="S61" s="61">
        <f t="shared" si="3"/>
        <v>33</v>
      </c>
      <c r="T61" s="62"/>
      <c r="U61" s="61" t="s">
        <v>729</v>
      </c>
      <c r="V61" s="63" t="s">
        <v>730</v>
      </c>
      <c r="W61" s="61"/>
      <c r="X61" s="61" t="s">
        <v>141</v>
      </c>
      <c r="Y61" s="61" t="s">
        <v>142</v>
      </c>
      <c r="Z61" s="61">
        <v>6</v>
      </c>
      <c r="AA61" s="69"/>
      <c r="AB61" s="229" t="s">
        <v>731</v>
      </c>
      <c r="AC61" s="63"/>
      <c r="AD61" s="61"/>
      <c r="AE61" s="61" t="s">
        <v>230</v>
      </c>
    </row>
    <row r="62" s="2" customFormat="1" spans="1:31">
      <c r="A62" s="61">
        <f t="shared" ref="A62:A70" si="4">A61+1</f>
        <v>34</v>
      </c>
      <c r="B62" s="62"/>
      <c r="C62" s="61" t="s">
        <v>217</v>
      </c>
      <c r="D62" s="63" t="s">
        <v>732</v>
      </c>
      <c r="E62" s="61"/>
      <c r="F62" s="61" t="s">
        <v>141</v>
      </c>
      <c r="G62" s="61" t="s">
        <v>142</v>
      </c>
      <c r="H62" s="61">
        <v>1</v>
      </c>
      <c r="I62" s="69"/>
      <c r="J62" s="61"/>
      <c r="K62" s="63"/>
      <c r="L62" s="61"/>
      <c r="M62" s="61" t="s">
        <v>230</v>
      </c>
      <c r="P62" s="70"/>
      <c r="S62" s="61">
        <f t="shared" si="3"/>
        <v>34</v>
      </c>
      <c r="T62" s="62"/>
      <c r="U62" s="61" t="s">
        <v>217</v>
      </c>
      <c r="V62" s="63" t="s">
        <v>732</v>
      </c>
      <c r="W62" s="61"/>
      <c r="X62" s="61" t="s">
        <v>141</v>
      </c>
      <c r="Y62" s="61" t="s">
        <v>142</v>
      </c>
      <c r="Z62" s="61">
        <v>1</v>
      </c>
      <c r="AA62" s="69"/>
      <c r="AB62" s="61"/>
      <c r="AC62" s="63"/>
      <c r="AD62" s="61"/>
      <c r="AE62" s="61" t="s">
        <v>230</v>
      </c>
    </row>
    <row r="63" s="2" customFormat="1" ht="33.75" spans="1:31">
      <c r="A63" s="61">
        <f t="shared" si="4"/>
        <v>35</v>
      </c>
      <c r="B63" s="62"/>
      <c r="C63" s="61" t="s">
        <v>733</v>
      </c>
      <c r="D63" s="61" t="s">
        <v>734</v>
      </c>
      <c r="E63" s="61"/>
      <c r="F63" s="61" t="s">
        <v>141</v>
      </c>
      <c r="G63" s="61" t="s">
        <v>142</v>
      </c>
      <c r="H63" s="61">
        <v>4</v>
      </c>
      <c r="I63" s="69"/>
      <c r="J63" s="229" t="s">
        <v>735</v>
      </c>
      <c r="K63" s="63"/>
      <c r="L63" s="61"/>
      <c r="M63" s="61" t="s">
        <v>736</v>
      </c>
      <c r="P63" s="70"/>
      <c r="S63" s="61">
        <f t="shared" si="3"/>
        <v>35</v>
      </c>
      <c r="T63" s="62"/>
      <c r="U63" s="61" t="s">
        <v>733</v>
      </c>
      <c r="V63" s="61" t="s">
        <v>734</v>
      </c>
      <c r="W63" s="61"/>
      <c r="X63" s="61" t="s">
        <v>141</v>
      </c>
      <c r="Y63" s="61" t="s">
        <v>142</v>
      </c>
      <c r="Z63" s="61">
        <v>4</v>
      </c>
      <c r="AA63" s="69"/>
      <c r="AB63" s="229" t="s">
        <v>735</v>
      </c>
      <c r="AC63" s="63"/>
      <c r="AD63" s="61"/>
      <c r="AE63" s="61" t="s">
        <v>736</v>
      </c>
    </row>
    <row r="64" s="2" customFormat="1" spans="1:31">
      <c r="A64" s="61">
        <f t="shared" si="4"/>
        <v>36</v>
      </c>
      <c r="B64" s="62"/>
      <c r="C64" s="61" t="s">
        <v>737</v>
      </c>
      <c r="D64" s="61" t="s">
        <v>738</v>
      </c>
      <c r="E64" s="61"/>
      <c r="F64" s="61" t="s">
        <v>153</v>
      </c>
      <c r="G64" s="61" t="s">
        <v>154</v>
      </c>
      <c r="H64" s="61" t="s">
        <v>8</v>
      </c>
      <c r="I64" s="69"/>
      <c r="J64" s="229" t="s">
        <v>155</v>
      </c>
      <c r="K64" s="63"/>
      <c r="L64" s="61"/>
      <c r="M64" s="61" t="s">
        <v>230</v>
      </c>
      <c r="P64" s="70"/>
      <c r="S64" s="61">
        <f t="shared" si="3"/>
        <v>36</v>
      </c>
      <c r="T64" s="62"/>
      <c r="U64" s="61" t="s">
        <v>737</v>
      </c>
      <c r="V64" s="61" t="s">
        <v>738</v>
      </c>
      <c r="W64" s="61"/>
      <c r="X64" s="61" t="s">
        <v>153</v>
      </c>
      <c r="Y64" s="61" t="s">
        <v>154</v>
      </c>
      <c r="Z64" s="61" t="s">
        <v>8</v>
      </c>
      <c r="AA64" s="69"/>
      <c r="AB64" s="229" t="s">
        <v>155</v>
      </c>
      <c r="AC64" s="63"/>
      <c r="AD64" s="61"/>
      <c r="AE64" s="61" t="s">
        <v>230</v>
      </c>
    </row>
    <row r="65" s="86" customFormat="1" ht="409" customHeight="1" spans="1:31">
      <c r="A65" s="32">
        <f t="shared" si="4"/>
        <v>37</v>
      </c>
      <c r="B65" s="51"/>
      <c r="C65" s="32" t="s">
        <v>739</v>
      </c>
      <c r="D65" s="52" t="s">
        <v>740</v>
      </c>
      <c r="E65" s="31" t="s">
        <v>741</v>
      </c>
      <c r="F65" s="31" t="s">
        <v>153</v>
      </c>
      <c r="G65" s="31" t="s">
        <v>254</v>
      </c>
      <c r="H65" s="31" t="s">
        <v>8</v>
      </c>
      <c r="I65" s="43" t="s">
        <v>22</v>
      </c>
      <c r="J65" s="31">
        <v>0</v>
      </c>
      <c r="K65" s="87"/>
      <c r="L65" s="31"/>
      <c r="M65" s="31" t="s">
        <v>742</v>
      </c>
      <c r="P65" s="70"/>
      <c r="Q65" s="2"/>
      <c r="S65" s="32">
        <f t="shared" si="3"/>
        <v>37</v>
      </c>
      <c r="T65" s="51"/>
      <c r="U65" s="32" t="s">
        <v>739</v>
      </c>
      <c r="V65" s="52" t="s">
        <v>740</v>
      </c>
      <c r="W65" s="118" t="s">
        <v>743</v>
      </c>
      <c r="X65" s="31" t="s">
        <v>153</v>
      </c>
      <c r="Y65" s="31" t="s">
        <v>254</v>
      </c>
      <c r="Z65" s="31" t="s">
        <v>8</v>
      </c>
      <c r="AA65" s="43" t="s">
        <v>22</v>
      </c>
      <c r="AB65" s="31">
        <v>0</v>
      </c>
      <c r="AC65" s="87"/>
      <c r="AD65" s="31"/>
      <c r="AE65" s="118" t="s">
        <v>744</v>
      </c>
    </row>
    <row r="66" s="2" customFormat="1" spans="1:31">
      <c r="A66" s="61">
        <f t="shared" si="4"/>
        <v>38</v>
      </c>
      <c r="B66" s="62"/>
      <c r="C66" s="61" t="s">
        <v>745</v>
      </c>
      <c r="D66" s="61" t="s">
        <v>746</v>
      </c>
      <c r="E66" s="61"/>
      <c r="F66" s="61" t="s">
        <v>153</v>
      </c>
      <c r="G66" s="61" t="s">
        <v>254</v>
      </c>
      <c r="H66" s="61" t="s">
        <v>8</v>
      </c>
      <c r="I66" s="69"/>
      <c r="J66" s="61">
        <v>0</v>
      </c>
      <c r="K66" s="63"/>
      <c r="L66" s="61"/>
      <c r="M66" s="61" t="s">
        <v>230</v>
      </c>
      <c r="P66" s="70"/>
      <c r="S66" s="61">
        <f t="shared" si="3"/>
        <v>38</v>
      </c>
      <c r="T66" s="62"/>
      <c r="U66" s="61" t="s">
        <v>745</v>
      </c>
      <c r="V66" s="61" t="s">
        <v>746</v>
      </c>
      <c r="W66" s="61"/>
      <c r="X66" s="61" t="s">
        <v>153</v>
      </c>
      <c r="Y66" s="61" t="s">
        <v>254</v>
      </c>
      <c r="Z66" s="61" t="s">
        <v>8</v>
      </c>
      <c r="AA66" s="69"/>
      <c r="AB66" s="61">
        <v>0</v>
      </c>
      <c r="AC66" s="63"/>
      <c r="AD66" s="61"/>
      <c r="AE66" s="61" t="s">
        <v>230</v>
      </c>
    </row>
    <row r="67" s="2" customFormat="1" spans="1:31">
      <c r="A67" s="61">
        <f t="shared" si="4"/>
        <v>39</v>
      </c>
      <c r="B67" s="62"/>
      <c r="C67" s="61" t="s">
        <v>747</v>
      </c>
      <c r="D67" s="61" t="s">
        <v>748</v>
      </c>
      <c r="E67" s="61"/>
      <c r="F67" s="61" t="s">
        <v>153</v>
      </c>
      <c r="G67" s="61" t="s">
        <v>254</v>
      </c>
      <c r="H67" s="61" t="s">
        <v>8</v>
      </c>
      <c r="I67" s="69"/>
      <c r="J67" s="61">
        <v>0</v>
      </c>
      <c r="K67" s="63"/>
      <c r="L67" s="61"/>
      <c r="M67" s="61" t="s">
        <v>230</v>
      </c>
      <c r="P67" s="70"/>
      <c r="S67" s="61">
        <f t="shared" si="3"/>
        <v>39</v>
      </c>
      <c r="T67" s="62"/>
      <c r="U67" s="61" t="s">
        <v>747</v>
      </c>
      <c r="V67" s="61" t="s">
        <v>748</v>
      </c>
      <c r="W67" s="61"/>
      <c r="X67" s="61" t="s">
        <v>153</v>
      </c>
      <c r="Y67" s="61" t="s">
        <v>254</v>
      </c>
      <c r="Z67" s="61" t="s">
        <v>8</v>
      </c>
      <c r="AA67" s="69"/>
      <c r="AB67" s="61">
        <v>0</v>
      </c>
      <c r="AC67" s="63"/>
      <c r="AD67" s="61"/>
      <c r="AE67" s="61" t="s">
        <v>230</v>
      </c>
    </row>
    <row r="68" s="2" customFormat="1" spans="1:31">
      <c r="A68" s="61">
        <f t="shared" si="4"/>
        <v>40</v>
      </c>
      <c r="B68" s="62"/>
      <c r="C68" s="61" t="s">
        <v>749</v>
      </c>
      <c r="D68" s="61" t="s">
        <v>750</v>
      </c>
      <c r="E68" s="61"/>
      <c r="F68" s="61" t="s">
        <v>153</v>
      </c>
      <c r="G68" s="61" t="s">
        <v>254</v>
      </c>
      <c r="H68" s="61" t="s">
        <v>8</v>
      </c>
      <c r="I68" s="69"/>
      <c r="J68" s="61">
        <v>0</v>
      </c>
      <c r="K68" s="63"/>
      <c r="L68" s="61"/>
      <c r="M68" s="61" t="s">
        <v>230</v>
      </c>
      <c r="P68" s="70"/>
      <c r="S68" s="61">
        <f t="shared" si="3"/>
        <v>40</v>
      </c>
      <c r="T68" s="62"/>
      <c r="U68" s="61" t="s">
        <v>749</v>
      </c>
      <c r="V68" s="61" t="s">
        <v>750</v>
      </c>
      <c r="W68" s="61"/>
      <c r="X68" s="61" t="s">
        <v>153</v>
      </c>
      <c r="Y68" s="61" t="s">
        <v>254</v>
      </c>
      <c r="Z68" s="61" t="s">
        <v>8</v>
      </c>
      <c r="AA68" s="69"/>
      <c r="AB68" s="61">
        <v>0</v>
      </c>
      <c r="AC68" s="63"/>
      <c r="AD68" s="61"/>
      <c r="AE68" s="61" t="s">
        <v>230</v>
      </c>
    </row>
    <row r="69" s="2" customFormat="1" ht="33.75" spans="1:31">
      <c r="A69" s="31">
        <f t="shared" si="4"/>
        <v>41</v>
      </c>
      <c r="B69" s="59"/>
      <c r="C69" s="31" t="s">
        <v>751</v>
      </c>
      <c r="D69" s="31" t="s">
        <v>752</v>
      </c>
      <c r="E69" s="31" t="s">
        <v>753</v>
      </c>
      <c r="F69" s="31" t="s">
        <v>153</v>
      </c>
      <c r="G69" s="31" t="s">
        <v>154</v>
      </c>
      <c r="H69" s="31" t="s">
        <v>8</v>
      </c>
      <c r="I69" s="43" t="s">
        <v>22</v>
      </c>
      <c r="J69" s="226" t="s">
        <v>754</v>
      </c>
      <c r="K69" s="87"/>
      <c r="L69" s="31"/>
      <c r="M69" s="31"/>
      <c r="P69" s="70"/>
      <c r="S69" s="31">
        <f t="shared" si="3"/>
        <v>41</v>
      </c>
      <c r="T69" s="59"/>
      <c r="U69" s="31" t="s">
        <v>751</v>
      </c>
      <c r="V69" s="31" t="s">
        <v>752</v>
      </c>
      <c r="W69" s="31" t="s">
        <v>755</v>
      </c>
      <c r="X69" s="31" t="s">
        <v>153</v>
      </c>
      <c r="Y69" s="31" t="s">
        <v>154</v>
      </c>
      <c r="Z69" s="31" t="s">
        <v>8</v>
      </c>
      <c r="AA69" s="43" t="s">
        <v>22</v>
      </c>
      <c r="AB69" s="226" t="s">
        <v>754</v>
      </c>
      <c r="AC69" s="87"/>
      <c r="AD69" s="31"/>
      <c r="AE69" s="31"/>
    </row>
    <row r="70" s="2" customFormat="1" spans="1:31">
      <c r="A70" s="31">
        <f t="shared" si="4"/>
        <v>42</v>
      </c>
      <c r="B70" s="59"/>
      <c r="C70" s="31" t="s">
        <v>149</v>
      </c>
      <c r="D70" s="87" t="s">
        <v>6</v>
      </c>
      <c r="E70" s="31"/>
      <c r="F70" s="31" t="s">
        <v>141</v>
      </c>
      <c r="G70" s="31" t="s">
        <v>142</v>
      </c>
      <c r="H70" s="31">
        <v>256</v>
      </c>
      <c r="I70" s="43"/>
      <c r="J70" s="31"/>
      <c r="K70" s="31"/>
      <c r="L70" s="31"/>
      <c r="M70" s="31"/>
      <c r="P70" s="70"/>
      <c r="S70" s="31">
        <f t="shared" si="3"/>
        <v>42</v>
      </c>
      <c r="T70" s="59"/>
      <c r="U70" s="31" t="s">
        <v>149</v>
      </c>
      <c r="V70" s="87" t="s">
        <v>6</v>
      </c>
      <c r="W70" s="31"/>
      <c r="X70" s="31" t="s">
        <v>141</v>
      </c>
      <c r="Y70" s="31" t="s">
        <v>142</v>
      </c>
      <c r="Z70" s="31">
        <v>256</v>
      </c>
      <c r="AA70" s="43"/>
      <c r="AB70" s="31"/>
      <c r="AC70" s="31"/>
      <c r="AD70" s="31"/>
      <c r="AE70" s="31"/>
    </row>
    <row r="71" s="2" customFormat="1" ht="22.5" spans="1:31">
      <c r="A71" s="33">
        <f t="shared" ref="A71:A78" si="5">A70+1</f>
        <v>43</v>
      </c>
      <c r="B71" s="34"/>
      <c r="C71" s="33" t="s">
        <v>150</v>
      </c>
      <c r="D71" s="35" t="s">
        <v>151</v>
      </c>
      <c r="E71" s="33" t="s">
        <v>152</v>
      </c>
      <c r="F71" s="33" t="s">
        <v>153</v>
      </c>
      <c r="G71" s="33" t="s">
        <v>154</v>
      </c>
      <c r="H71" s="33" t="s">
        <v>8</v>
      </c>
      <c r="I71" s="45" t="s">
        <v>22</v>
      </c>
      <c r="J71" s="225" t="s">
        <v>155</v>
      </c>
      <c r="K71" s="33"/>
      <c r="L71" s="33"/>
      <c r="M71" s="33" t="s">
        <v>156</v>
      </c>
      <c r="P71" s="70"/>
      <c r="S71" s="33">
        <f t="shared" si="3"/>
        <v>43</v>
      </c>
      <c r="T71" s="34"/>
      <c r="U71" s="33" t="s">
        <v>150</v>
      </c>
      <c r="V71" s="35" t="s">
        <v>151</v>
      </c>
      <c r="W71" s="33" t="s">
        <v>644</v>
      </c>
      <c r="X71" s="33" t="s">
        <v>153</v>
      </c>
      <c r="Y71" s="33" t="s">
        <v>154</v>
      </c>
      <c r="Z71" s="33" t="s">
        <v>8</v>
      </c>
      <c r="AA71" s="45" t="s">
        <v>22</v>
      </c>
      <c r="AB71" s="225" t="s">
        <v>155</v>
      </c>
      <c r="AC71" s="33"/>
      <c r="AD71" s="33"/>
      <c r="AE71" s="33" t="s">
        <v>349</v>
      </c>
    </row>
    <row r="72" s="2" customFormat="1" spans="1:31">
      <c r="A72" s="33">
        <f t="shared" si="5"/>
        <v>44</v>
      </c>
      <c r="B72" s="34"/>
      <c r="C72" s="33" t="s">
        <v>159</v>
      </c>
      <c r="D72" s="35" t="s">
        <v>160</v>
      </c>
      <c r="E72" s="33" t="s">
        <v>161</v>
      </c>
      <c r="F72" s="33" t="s">
        <v>153</v>
      </c>
      <c r="G72" s="33" t="s">
        <v>162</v>
      </c>
      <c r="H72" s="33"/>
      <c r="I72" s="45" t="s">
        <v>22</v>
      </c>
      <c r="J72" s="33">
        <v>0</v>
      </c>
      <c r="K72" s="33"/>
      <c r="L72" s="33"/>
      <c r="M72" s="33"/>
      <c r="P72" s="70"/>
      <c r="S72" s="33">
        <f t="shared" si="3"/>
        <v>44</v>
      </c>
      <c r="T72" s="34"/>
      <c r="U72" s="33" t="s">
        <v>159</v>
      </c>
      <c r="V72" s="35" t="s">
        <v>160</v>
      </c>
      <c r="W72" s="33" t="s">
        <v>163</v>
      </c>
      <c r="X72" s="33" t="s">
        <v>153</v>
      </c>
      <c r="Y72" s="33" t="s">
        <v>162</v>
      </c>
      <c r="Z72" s="33"/>
      <c r="AA72" s="45" t="s">
        <v>22</v>
      </c>
      <c r="AB72" s="33">
        <v>0</v>
      </c>
      <c r="AC72" s="33"/>
      <c r="AD72" s="33"/>
      <c r="AE72" s="33"/>
    </row>
    <row r="73" s="2" customFormat="1" spans="1:31">
      <c r="A73" s="33">
        <f t="shared" si="5"/>
        <v>45</v>
      </c>
      <c r="B73" s="34"/>
      <c r="C73" s="33" t="s">
        <v>164</v>
      </c>
      <c r="D73" s="35" t="s">
        <v>165</v>
      </c>
      <c r="E73" s="33"/>
      <c r="F73" s="33" t="s">
        <v>141</v>
      </c>
      <c r="G73" s="33" t="s">
        <v>142</v>
      </c>
      <c r="H73" s="33">
        <v>32</v>
      </c>
      <c r="I73" s="45"/>
      <c r="J73" s="33"/>
      <c r="K73" s="33"/>
      <c r="L73" s="33"/>
      <c r="M73" s="33"/>
      <c r="P73" s="70"/>
      <c r="S73" s="33">
        <f t="shared" si="3"/>
        <v>45</v>
      </c>
      <c r="T73" s="34"/>
      <c r="U73" s="33" t="s">
        <v>164</v>
      </c>
      <c r="V73" s="35" t="s">
        <v>165</v>
      </c>
      <c r="W73" s="33"/>
      <c r="X73" s="33" t="s">
        <v>141</v>
      </c>
      <c r="Y73" s="33" t="s">
        <v>142</v>
      </c>
      <c r="Z73" s="33">
        <v>32</v>
      </c>
      <c r="AA73" s="45"/>
      <c r="AB73" s="33"/>
      <c r="AC73" s="33"/>
      <c r="AD73" s="33"/>
      <c r="AE73" s="33"/>
    </row>
    <row r="74" s="2" customFormat="1" spans="1:31">
      <c r="A74" s="33">
        <f t="shared" si="5"/>
        <v>46</v>
      </c>
      <c r="B74" s="34"/>
      <c r="C74" s="33" t="s">
        <v>166</v>
      </c>
      <c r="D74" s="35" t="s">
        <v>167</v>
      </c>
      <c r="E74" s="33"/>
      <c r="F74" s="33" t="s">
        <v>153</v>
      </c>
      <c r="G74" s="33" t="s">
        <v>142</v>
      </c>
      <c r="H74" s="33">
        <v>32</v>
      </c>
      <c r="I74" s="45"/>
      <c r="J74" s="33"/>
      <c r="K74" s="33"/>
      <c r="L74" s="33"/>
      <c r="M74" s="33" t="s">
        <v>168</v>
      </c>
      <c r="P74" s="70"/>
      <c r="S74" s="33">
        <f t="shared" si="3"/>
        <v>46</v>
      </c>
      <c r="T74" s="34"/>
      <c r="U74" s="33" t="s">
        <v>166</v>
      </c>
      <c r="V74" s="35" t="s">
        <v>167</v>
      </c>
      <c r="W74" s="33"/>
      <c r="X74" s="33" t="s">
        <v>153</v>
      </c>
      <c r="Y74" s="33" t="s">
        <v>142</v>
      </c>
      <c r="Z74" s="33">
        <v>32</v>
      </c>
      <c r="AA74" s="45"/>
      <c r="AB74" s="33"/>
      <c r="AC74" s="33"/>
      <c r="AD74" s="33"/>
      <c r="AE74" s="33" t="s">
        <v>169</v>
      </c>
    </row>
    <row r="75" s="2" customFormat="1" spans="1:31">
      <c r="A75" s="33">
        <f t="shared" si="5"/>
        <v>47</v>
      </c>
      <c r="B75" s="34"/>
      <c r="C75" s="36" t="s">
        <v>170</v>
      </c>
      <c r="D75" s="35" t="s">
        <v>171</v>
      </c>
      <c r="E75" s="33"/>
      <c r="F75" s="33" t="s">
        <v>172</v>
      </c>
      <c r="G75" s="33" t="s">
        <v>173</v>
      </c>
      <c r="H75" s="33" t="s">
        <v>8</v>
      </c>
      <c r="I75" s="45" t="s">
        <v>22</v>
      </c>
      <c r="J75" s="33"/>
      <c r="K75" s="33"/>
      <c r="L75" s="33"/>
      <c r="M75" s="33"/>
      <c r="P75" s="70"/>
      <c r="S75" s="33">
        <f t="shared" si="3"/>
        <v>47</v>
      </c>
      <c r="T75" s="34"/>
      <c r="U75" s="33" t="s">
        <v>351</v>
      </c>
      <c r="V75" s="35" t="s">
        <v>171</v>
      </c>
      <c r="W75" s="33"/>
      <c r="X75" s="33" t="s">
        <v>172</v>
      </c>
      <c r="Y75" s="33" t="s">
        <v>173</v>
      </c>
      <c r="Z75" s="33" t="s">
        <v>8</v>
      </c>
      <c r="AA75" s="45" t="s">
        <v>22</v>
      </c>
      <c r="AB75" s="33"/>
      <c r="AC75" s="33"/>
      <c r="AD75" s="33"/>
      <c r="AE75" s="33"/>
    </row>
    <row r="76" s="2" customFormat="1" spans="1:31">
      <c r="A76" s="33">
        <f t="shared" si="5"/>
        <v>48</v>
      </c>
      <c r="B76" s="34"/>
      <c r="C76" s="33" t="s">
        <v>174</v>
      </c>
      <c r="D76" s="35" t="s">
        <v>175</v>
      </c>
      <c r="E76" s="33"/>
      <c r="F76" s="33" t="s">
        <v>141</v>
      </c>
      <c r="G76" s="33" t="s">
        <v>142</v>
      </c>
      <c r="H76" s="33">
        <v>32</v>
      </c>
      <c r="I76" s="45"/>
      <c r="J76" s="33"/>
      <c r="K76" s="33"/>
      <c r="L76" s="33"/>
      <c r="M76" s="33"/>
      <c r="P76" s="70"/>
      <c r="S76" s="33">
        <f t="shared" si="3"/>
        <v>48</v>
      </c>
      <c r="T76" s="34"/>
      <c r="U76" s="33" t="s">
        <v>174</v>
      </c>
      <c r="V76" s="35" t="s">
        <v>175</v>
      </c>
      <c r="W76" s="33"/>
      <c r="X76" s="33" t="s">
        <v>141</v>
      </c>
      <c r="Y76" s="33" t="s">
        <v>142</v>
      </c>
      <c r="Z76" s="33">
        <v>32</v>
      </c>
      <c r="AA76" s="45"/>
      <c r="AB76" s="33"/>
      <c r="AC76" s="33"/>
      <c r="AD76" s="33"/>
      <c r="AE76" s="33"/>
    </row>
    <row r="77" s="2" customFormat="1" ht="22.5" spans="1:31">
      <c r="A77" s="33">
        <f t="shared" si="5"/>
        <v>49</v>
      </c>
      <c r="B77" s="34"/>
      <c r="C77" s="33" t="s">
        <v>176</v>
      </c>
      <c r="D77" s="35" t="s">
        <v>177</v>
      </c>
      <c r="E77" s="33" t="s">
        <v>178</v>
      </c>
      <c r="F77" s="33" t="s">
        <v>153</v>
      </c>
      <c r="G77" s="33" t="s">
        <v>142</v>
      </c>
      <c r="H77" s="33">
        <v>32</v>
      </c>
      <c r="I77" s="45"/>
      <c r="J77" s="33"/>
      <c r="K77" s="33"/>
      <c r="L77" s="33"/>
      <c r="M77" s="33" t="s">
        <v>179</v>
      </c>
      <c r="P77" s="70"/>
      <c r="S77" s="33">
        <f t="shared" si="3"/>
        <v>49</v>
      </c>
      <c r="T77" s="34"/>
      <c r="U77" s="33" t="s">
        <v>176</v>
      </c>
      <c r="V77" s="35" t="s">
        <v>177</v>
      </c>
      <c r="W77" s="33" t="s">
        <v>180</v>
      </c>
      <c r="X77" s="33" t="s">
        <v>153</v>
      </c>
      <c r="Y77" s="33" t="s">
        <v>142</v>
      </c>
      <c r="Z77" s="33">
        <v>32</v>
      </c>
      <c r="AA77" s="45"/>
      <c r="AB77" s="33"/>
      <c r="AC77" s="33"/>
      <c r="AD77" s="33"/>
      <c r="AE77" s="33" t="s">
        <v>645</v>
      </c>
    </row>
    <row r="78" s="2" customFormat="1" spans="1:31">
      <c r="A78" s="33">
        <f t="shared" si="5"/>
        <v>50</v>
      </c>
      <c r="B78" s="34"/>
      <c r="C78" s="36" t="s">
        <v>182</v>
      </c>
      <c r="D78" s="35" t="s">
        <v>183</v>
      </c>
      <c r="E78" s="33"/>
      <c r="F78" s="33" t="s">
        <v>172</v>
      </c>
      <c r="G78" s="33" t="s">
        <v>173</v>
      </c>
      <c r="H78" s="33" t="s">
        <v>8</v>
      </c>
      <c r="I78" s="45" t="s">
        <v>22</v>
      </c>
      <c r="J78" s="33"/>
      <c r="K78" s="33"/>
      <c r="L78" s="33"/>
      <c r="M78" s="33"/>
      <c r="P78" s="70"/>
      <c r="S78" s="33">
        <f t="shared" si="3"/>
        <v>50</v>
      </c>
      <c r="T78" s="34"/>
      <c r="U78" s="33" t="s">
        <v>353</v>
      </c>
      <c r="V78" s="35" t="s">
        <v>183</v>
      </c>
      <c r="W78" s="33"/>
      <c r="X78" s="33" t="s">
        <v>172</v>
      </c>
      <c r="Y78" s="33" t="s">
        <v>173</v>
      </c>
      <c r="Z78" s="33" t="s">
        <v>8</v>
      </c>
      <c r="AA78" s="45" t="s">
        <v>22</v>
      </c>
      <c r="AB78" s="33"/>
      <c r="AC78" s="33"/>
      <c r="AD78" s="33"/>
      <c r="AE78" s="33"/>
    </row>
    <row r="80" spans="1:27">
      <c r="A80" s="6"/>
      <c r="B80" s="7" t="s">
        <v>15</v>
      </c>
      <c r="C80" s="8" t="s">
        <v>45</v>
      </c>
      <c r="D80" s="9"/>
      <c r="I80" s="37"/>
      <c r="S80" s="6"/>
      <c r="T80" s="7" t="s">
        <v>86</v>
      </c>
      <c r="U80" s="8" t="s">
        <v>45</v>
      </c>
      <c r="V80" s="9"/>
      <c r="AA80" s="37"/>
    </row>
    <row r="81" spans="1:31">
      <c r="A81" s="10"/>
      <c r="B81" s="11" t="s">
        <v>124</v>
      </c>
      <c r="C81" s="8" t="str">
        <f>テーブル一覧!E13</f>
        <v>T_SOD_SIM_ORDER_INFO</v>
      </c>
      <c r="D81" s="9"/>
      <c r="E81" s="2" t="s">
        <v>44</v>
      </c>
      <c r="F81" s="3"/>
      <c r="G81" s="3"/>
      <c r="H81" s="3"/>
      <c r="I81" s="37"/>
      <c r="J81" s="3"/>
      <c r="K81" s="3"/>
      <c r="L81" s="3"/>
      <c r="M81" s="38"/>
      <c r="S81" s="10"/>
      <c r="T81" s="11" t="s">
        <v>125</v>
      </c>
      <c r="U81" s="8" t="str">
        <f>C81</f>
        <v>T_SOD_SIM_ORDER_INFO</v>
      </c>
      <c r="V81" s="9"/>
      <c r="W81" s="2" t="s">
        <v>44</v>
      </c>
      <c r="X81" s="3"/>
      <c r="Y81" s="3"/>
      <c r="Z81" s="3"/>
      <c r="AA81" s="37"/>
      <c r="AB81" s="3"/>
      <c r="AC81" s="3"/>
      <c r="AD81" s="3"/>
      <c r="AE81" s="38"/>
    </row>
    <row r="82" ht="22.5" spans="1:31">
      <c r="A82" s="12" t="s">
        <v>0</v>
      </c>
      <c r="B82" s="13"/>
      <c r="C82" s="14" t="s">
        <v>126</v>
      </c>
      <c r="D82" s="15" t="s">
        <v>15</v>
      </c>
      <c r="E82" s="14" t="s">
        <v>16</v>
      </c>
      <c r="F82" s="16" t="s">
        <v>127</v>
      </c>
      <c r="G82" s="14" t="s">
        <v>127</v>
      </c>
      <c r="H82" s="14" t="s">
        <v>128</v>
      </c>
      <c r="I82" s="39" t="s">
        <v>129</v>
      </c>
      <c r="J82" s="14" t="s">
        <v>130</v>
      </c>
      <c r="K82" s="14" t="s">
        <v>131</v>
      </c>
      <c r="L82" s="14" t="s">
        <v>132</v>
      </c>
      <c r="M82" s="14" t="s">
        <v>6</v>
      </c>
      <c r="S82" s="12" t="s">
        <v>0</v>
      </c>
      <c r="T82" s="13"/>
      <c r="U82" s="14" t="s">
        <v>133</v>
      </c>
      <c r="V82" s="15" t="s">
        <v>86</v>
      </c>
      <c r="W82" s="14" t="s">
        <v>87</v>
      </c>
      <c r="X82" s="16" t="s">
        <v>134</v>
      </c>
      <c r="Y82" s="14" t="s">
        <v>134</v>
      </c>
      <c r="Z82" s="14" t="s">
        <v>128</v>
      </c>
      <c r="AA82" s="39" t="s">
        <v>135</v>
      </c>
      <c r="AB82" s="14" t="s">
        <v>130</v>
      </c>
      <c r="AC82" s="14" t="s">
        <v>136</v>
      </c>
      <c r="AD82" s="14" t="s">
        <v>132</v>
      </c>
      <c r="AE82" s="14" t="s">
        <v>137</v>
      </c>
    </row>
    <row r="83" s="2" customFormat="1" spans="1:31">
      <c r="A83" s="31">
        <v>1</v>
      </c>
      <c r="B83" s="59"/>
      <c r="C83" s="31" t="s">
        <v>413</v>
      </c>
      <c r="D83" s="87" t="s">
        <v>414</v>
      </c>
      <c r="E83" s="31"/>
      <c r="F83" s="31" t="s">
        <v>301</v>
      </c>
      <c r="G83" s="31" t="s">
        <v>306</v>
      </c>
      <c r="H83" s="31" t="s">
        <v>8</v>
      </c>
      <c r="I83" s="64" t="s">
        <v>22</v>
      </c>
      <c r="J83" s="31"/>
      <c r="K83" s="52"/>
      <c r="L83" s="31" t="s">
        <v>188</v>
      </c>
      <c r="M83" s="31"/>
      <c r="P83" s="70"/>
      <c r="S83" s="31">
        <v>1</v>
      </c>
      <c r="T83" s="59"/>
      <c r="U83" s="31" t="s">
        <v>413</v>
      </c>
      <c r="V83" s="87" t="s">
        <v>414</v>
      </c>
      <c r="W83" s="31"/>
      <c r="X83" s="31" t="s">
        <v>301</v>
      </c>
      <c r="Y83" s="31" t="s">
        <v>306</v>
      </c>
      <c r="Z83" s="31" t="s">
        <v>8</v>
      </c>
      <c r="AA83" s="64" t="s">
        <v>22</v>
      </c>
      <c r="AB83" s="31"/>
      <c r="AC83" s="52"/>
      <c r="AD83" s="31" t="s">
        <v>188</v>
      </c>
      <c r="AE83" s="31"/>
    </row>
    <row r="84" s="2" customFormat="1" spans="1:31">
      <c r="A84" s="31">
        <f t="shared" ref="A84:A162" si="6">A83+1</f>
        <v>2</v>
      </c>
      <c r="B84" s="59"/>
      <c r="C84" s="31" t="s">
        <v>756</v>
      </c>
      <c r="D84" s="87" t="s">
        <v>757</v>
      </c>
      <c r="E84" s="31"/>
      <c r="F84" s="31" t="s">
        <v>172</v>
      </c>
      <c r="G84" s="31" t="s">
        <v>142</v>
      </c>
      <c r="H84" s="31" t="s">
        <v>8</v>
      </c>
      <c r="I84" s="43"/>
      <c r="J84" s="31"/>
      <c r="K84" s="31"/>
      <c r="L84" s="31" t="s">
        <v>216</v>
      </c>
      <c r="M84" s="31"/>
      <c r="P84" s="70"/>
      <c r="S84" s="31">
        <f t="shared" ref="S84:S97" si="7">S83+1</f>
        <v>2</v>
      </c>
      <c r="T84" s="59"/>
      <c r="U84" s="31" t="s">
        <v>756</v>
      </c>
      <c r="V84" s="87" t="s">
        <v>757</v>
      </c>
      <c r="W84" s="31"/>
      <c r="X84" s="31" t="s">
        <v>172</v>
      </c>
      <c r="Y84" s="31" t="s">
        <v>142</v>
      </c>
      <c r="Z84" s="31" t="s">
        <v>8</v>
      </c>
      <c r="AA84" s="43"/>
      <c r="AB84" s="31"/>
      <c r="AC84" s="31"/>
      <c r="AD84" s="31" t="s">
        <v>216</v>
      </c>
      <c r="AE84" s="31"/>
    </row>
    <row r="85" s="2" customFormat="1" spans="1:31">
      <c r="A85" s="31">
        <f t="shared" si="6"/>
        <v>3</v>
      </c>
      <c r="B85" s="59"/>
      <c r="C85" s="31" t="s">
        <v>758</v>
      </c>
      <c r="D85" s="87" t="s">
        <v>759</v>
      </c>
      <c r="E85" s="31"/>
      <c r="F85" s="31" t="s">
        <v>141</v>
      </c>
      <c r="G85" s="31" t="s">
        <v>142</v>
      </c>
      <c r="H85" s="31">
        <v>9</v>
      </c>
      <c r="I85" s="43"/>
      <c r="J85" s="31"/>
      <c r="K85" s="31"/>
      <c r="L85" s="31"/>
      <c r="M85" s="31"/>
      <c r="P85" s="70"/>
      <c r="S85" s="31">
        <f t="shared" si="7"/>
        <v>3</v>
      </c>
      <c r="T85" s="59"/>
      <c r="U85" s="31" t="s">
        <v>758</v>
      </c>
      <c r="V85" s="87" t="s">
        <v>759</v>
      </c>
      <c r="W85" s="31"/>
      <c r="X85" s="31" t="s">
        <v>141</v>
      </c>
      <c r="Y85" s="31" t="s">
        <v>142</v>
      </c>
      <c r="Z85" s="31">
        <v>9</v>
      </c>
      <c r="AA85" s="43"/>
      <c r="AB85" s="31"/>
      <c r="AC85" s="31"/>
      <c r="AD85" s="31"/>
      <c r="AE85" s="31"/>
    </row>
    <row r="86" s="2" customFormat="1" ht="22.5" spans="1:31">
      <c r="A86" s="61">
        <f t="shared" si="6"/>
        <v>4</v>
      </c>
      <c r="B86" s="62"/>
      <c r="C86" s="61" t="s">
        <v>760</v>
      </c>
      <c r="D86" s="63" t="s">
        <v>761</v>
      </c>
      <c r="E86" s="61" t="s">
        <v>762</v>
      </c>
      <c r="F86" s="61" t="s">
        <v>153</v>
      </c>
      <c r="G86" s="61" t="s">
        <v>142</v>
      </c>
      <c r="H86" s="61" t="s">
        <v>8</v>
      </c>
      <c r="I86" s="69"/>
      <c r="J86" s="61"/>
      <c r="K86" s="61"/>
      <c r="L86" s="61"/>
      <c r="M86" s="61" t="s">
        <v>230</v>
      </c>
      <c r="P86" s="70"/>
      <c r="S86" s="61">
        <f t="shared" si="7"/>
        <v>4</v>
      </c>
      <c r="T86" s="62"/>
      <c r="U86" s="61" t="s">
        <v>760</v>
      </c>
      <c r="V86" s="63" t="s">
        <v>761</v>
      </c>
      <c r="W86" s="61" t="s">
        <v>763</v>
      </c>
      <c r="X86" s="61" t="s">
        <v>153</v>
      </c>
      <c r="Y86" s="61" t="s">
        <v>142</v>
      </c>
      <c r="Z86" s="61" t="s">
        <v>8</v>
      </c>
      <c r="AA86" s="69"/>
      <c r="AB86" s="61"/>
      <c r="AC86" s="61"/>
      <c r="AD86" s="61"/>
      <c r="AE86" s="61" t="s">
        <v>230</v>
      </c>
    </row>
    <row r="87" s="86" customFormat="1" ht="33.75" spans="1:31">
      <c r="A87" s="32">
        <f t="shared" si="6"/>
        <v>5</v>
      </c>
      <c r="B87" s="51"/>
      <c r="C87" s="32" t="s">
        <v>764</v>
      </c>
      <c r="D87" s="52" t="s">
        <v>765</v>
      </c>
      <c r="E87" s="32" t="s">
        <v>766</v>
      </c>
      <c r="F87" s="32" t="s">
        <v>153</v>
      </c>
      <c r="G87" s="31" t="s">
        <v>254</v>
      </c>
      <c r="H87" s="32" t="s">
        <v>8</v>
      </c>
      <c r="I87" s="64"/>
      <c r="J87" s="32"/>
      <c r="K87" s="32"/>
      <c r="L87" s="32"/>
      <c r="M87" s="32" t="s">
        <v>767</v>
      </c>
      <c r="P87" s="70"/>
      <c r="Q87" s="2"/>
      <c r="S87" s="32">
        <f t="shared" si="7"/>
        <v>5</v>
      </c>
      <c r="T87" s="51"/>
      <c r="U87" s="32" t="s">
        <v>764</v>
      </c>
      <c r="V87" s="52" t="s">
        <v>765</v>
      </c>
      <c r="W87" s="32" t="s">
        <v>768</v>
      </c>
      <c r="X87" s="32" t="s">
        <v>153</v>
      </c>
      <c r="Y87" s="31" t="s">
        <v>254</v>
      </c>
      <c r="Z87" s="32" t="s">
        <v>8</v>
      </c>
      <c r="AA87" s="64"/>
      <c r="AB87" s="32"/>
      <c r="AC87" s="32"/>
      <c r="AD87" s="32"/>
      <c r="AE87" s="32" t="s">
        <v>769</v>
      </c>
    </row>
    <row r="88" s="2" customFormat="1" spans="1:31">
      <c r="A88" s="31">
        <f t="shared" si="6"/>
        <v>6</v>
      </c>
      <c r="B88" s="59"/>
      <c r="C88" s="31" t="s">
        <v>478</v>
      </c>
      <c r="D88" s="87" t="s">
        <v>479</v>
      </c>
      <c r="E88" s="31"/>
      <c r="F88" s="31" t="s">
        <v>141</v>
      </c>
      <c r="G88" s="31" t="s">
        <v>142</v>
      </c>
      <c r="H88" s="31">
        <v>10</v>
      </c>
      <c r="I88" s="43"/>
      <c r="J88" s="31"/>
      <c r="K88" s="31"/>
      <c r="L88" s="31"/>
      <c r="M88" s="31"/>
      <c r="P88" s="70"/>
      <c r="S88" s="31">
        <f t="shared" si="7"/>
        <v>6</v>
      </c>
      <c r="T88" s="59"/>
      <c r="U88" s="31" t="s">
        <v>478</v>
      </c>
      <c r="V88" s="87" t="s">
        <v>479</v>
      </c>
      <c r="W88" s="31"/>
      <c r="X88" s="31" t="s">
        <v>141</v>
      </c>
      <c r="Y88" s="31" t="s">
        <v>142</v>
      </c>
      <c r="Z88" s="31">
        <v>10</v>
      </c>
      <c r="AA88" s="43"/>
      <c r="AB88" s="31"/>
      <c r="AC88" s="31"/>
      <c r="AD88" s="31"/>
      <c r="AE88" s="31"/>
    </row>
    <row r="89" s="2" customFormat="1" spans="1:31">
      <c r="A89" s="31">
        <f t="shared" si="6"/>
        <v>7</v>
      </c>
      <c r="B89" s="59"/>
      <c r="C89" s="31" t="s">
        <v>770</v>
      </c>
      <c r="D89" s="87" t="s">
        <v>485</v>
      </c>
      <c r="E89" s="31" t="s">
        <v>330</v>
      </c>
      <c r="F89" s="31" t="s">
        <v>141</v>
      </c>
      <c r="G89" s="31" t="s">
        <v>142</v>
      </c>
      <c r="H89" s="31">
        <v>11</v>
      </c>
      <c r="I89" s="43"/>
      <c r="J89" s="31"/>
      <c r="K89" s="31"/>
      <c r="L89" s="31"/>
      <c r="M89" s="31"/>
      <c r="P89" s="70"/>
      <c r="S89" s="31">
        <f t="shared" si="7"/>
        <v>7</v>
      </c>
      <c r="T89" s="59"/>
      <c r="U89" s="31" t="s">
        <v>770</v>
      </c>
      <c r="V89" s="87" t="s">
        <v>485</v>
      </c>
      <c r="W89" s="31" t="s">
        <v>331</v>
      </c>
      <c r="X89" s="31" t="s">
        <v>141</v>
      </c>
      <c r="Y89" s="31" t="s">
        <v>142</v>
      </c>
      <c r="Z89" s="31">
        <v>11</v>
      </c>
      <c r="AA89" s="43"/>
      <c r="AB89" s="31"/>
      <c r="AC89" s="31"/>
      <c r="AD89" s="31"/>
      <c r="AE89" s="31"/>
    </row>
    <row r="90" s="2" customFormat="1" spans="1:31">
      <c r="A90" s="31">
        <f t="shared" si="6"/>
        <v>8</v>
      </c>
      <c r="B90" s="59"/>
      <c r="C90" s="31" t="s">
        <v>482</v>
      </c>
      <c r="D90" s="87" t="s">
        <v>483</v>
      </c>
      <c r="E90" s="31"/>
      <c r="F90" s="31" t="s">
        <v>627</v>
      </c>
      <c r="G90" s="31" t="s">
        <v>628</v>
      </c>
      <c r="H90" s="31" t="s">
        <v>8</v>
      </c>
      <c r="I90" s="43"/>
      <c r="J90" s="31"/>
      <c r="K90" s="31"/>
      <c r="L90" s="31"/>
      <c r="M90" s="31"/>
      <c r="P90" s="70"/>
      <c r="S90" s="31">
        <f t="shared" si="7"/>
        <v>8</v>
      </c>
      <c r="T90" s="59"/>
      <c r="U90" s="31" t="s">
        <v>482</v>
      </c>
      <c r="V90" s="87" t="s">
        <v>483</v>
      </c>
      <c r="W90" s="31"/>
      <c r="X90" s="31" t="s">
        <v>627</v>
      </c>
      <c r="Y90" s="31" t="s">
        <v>628</v>
      </c>
      <c r="Z90" s="31" t="s">
        <v>8</v>
      </c>
      <c r="AA90" s="43"/>
      <c r="AB90" s="31"/>
      <c r="AC90" s="31"/>
      <c r="AD90" s="31"/>
      <c r="AE90" s="31"/>
    </row>
    <row r="91" s="2" customFormat="1" spans="1:31">
      <c r="A91" s="61">
        <f t="shared" si="6"/>
        <v>9</v>
      </c>
      <c r="B91" s="62"/>
      <c r="C91" s="61" t="s">
        <v>771</v>
      </c>
      <c r="D91" s="63" t="s">
        <v>772</v>
      </c>
      <c r="E91" s="61"/>
      <c r="F91" s="61" t="s">
        <v>141</v>
      </c>
      <c r="G91" s="61" t="s">
        <v>142</v>
      </c>
      <c r="H91" s="61">
        <v>6</v>
      </c>
      <c r="I91" s="69"/>
      <c r="J91" s="61"/>
      <c r="K91" s="61"/>
      <c r="L91" s="61"/>
      <c r="M91" s="61" t="s">
        <v>230</v>
      </c>
      <c r="P91" s="70"/>
      <c r="S91" s="61">
        <f t="shared" si="7"/>
        <v>9</v>
      </c>
      <c r="T91" s="62"/>
      <c r="U91" s="61" t="s">
        <v>771</v>
      </c>
      <c r="V91" s="63" t="s">
        <v>772</v>
      </c>
      <c r="W91" s="61"/>
      <c r="X91" s="61" t="s">
        <v>141</v>
      </c>
      <c r="Y91" s="61" t="s">
        <v>142</v>
      </c>
      <c r="Z91" s="61">
        <v>6</v>
      </c>
      <c r="AA91" s="69"/>
      <c r="AB91" s="61"/>
      <c r="AC91" s="61"/>
      <c r="AD91" s="61"/>
      <c r="AE91" s="61" t="s">
        <v>230</v>
      </c>
    </row>
    <row r="92" s="2" customFormat="1" spans="1:32">
      <c r="A92" s="99">
        <f t="shared" ref="A92:A94" si="8">A91+1</f>
        <v>10</v>
      </c>
      <c r="B92" s="100"/>
      <c r="C92" s="99" t="s">
        <v>247</v>
      </c>
      <c r="D92" s="101" t="s">
        <v>248</v>
      </c>
      <c r="E92" s="99" t="s">
        <v>773</v>
      </c>
      <c r="F92" s="99" t="s">
        <v>141</v>
      </c>
      <c r="G92" s="99" t="s">
        <v>142</v>
      </c>
      <c r="H92" s="99">
        <v>32</v>
      </c>
      <c r="I92" s="113" t="s">
        <v>22</v>
      </c>
      <c r="J92" s="99"/>
      <c r="K92" s="101"/>
      <c r="L92" s="99" t="s">
        <v>552</v>
      </c>
      <c r="M92" s="99"/>
      <c r="N92" s="3" t="s">
        <v>774</v>
      </c>
      <c r="P92" s="70"/>
      <c r="S92" s="99">
        <f t="shared" si="7"/>
        <v>10</v>
      </c>
      <c r="T92" s="100"/>
      <c r="U92" s="99" t="s">
        <v>247</v>
      </c>
      <c r="V92" s="101" t="s">
        <v>248</v>
      </c>
      <c r="W92" s="99" t="s">
        <v>775</v>
      </c>
      <c r="X92" s="99" t="s">
        <v>141</v>
      </c>
      <c r="Y92" s="99" t="s">
        <v>142</v>
      </c>
      <c r="Z92" s="99">
        <v>32</v>
      </c>
      <c r="AA92" s="113" t="s">
        <v>22</v>
      </c>
      <c r="AB92" s="99"/>
      <c r="AC92" s="101"/>
      <c r="AD92" s="99" t="s">
        <v>552</v>
      </c>
      <c r="AE92" s="99"/>
      <c r="AF92" s="3" t="s">
        <v>776</v>
      </c>
    </row>
    <row r="93" s="2" customFormat="1" ht="45" spans="1:32">
      <c r="A93" s="102">
        <f t="shared" si="8"/>
        <v>11</v>
      </c>
      <c r="B93" s="103"/>
      <c r="C93" s="102" t="s">
        <v>251</v>
      </c>
      <c r="D93" s="104" t="s">
        <v>252</v>
      </c>
      <c r="E93" s="102" t="s">
        <v>777</v>
      </c>
      <c r="F93" s="102"/>
      <c r="G93" s="102" t="s">
        <v>254</v>
      </c>
      <c r="H93" s="102" t="s">
        <v>8</v>
      </c>
      <c r="I93" s="114" t="s">
        <v>22</v>
      </c>
      <c r="J93" s="102"/>
      <c r="K93" s="104"/>
      <c r="L93" s="102"/>
      <c r="M93" s="102" t="s">
        <v>778</v>
      </c>
      <c r="N93" s="3" t="s">
        <v>779</v>
      </c>
      <c r="P93" s="70"/>
      <c r="S93" s="99"/>
      <c r="T93" s="100"/>
      <c r="U93" s="99"/>
      <c r="V93" s="101"/>
      <c r="W93" s="99"/>
      <c r="X93" s="99"/>
      <c r="Y93" s="99"/>
      <c r="Z93" s="99"/>
      <c r="AA93" s="113"/>
      <c r="AB93" s="99"/>
      <c r="AC93" s="101"/>
      <c r="AD93" s="99"/>
      <c r="AE93" s="99"/>
      <c r="AF93" s="3"/>
    </row>
    <row r="94" s="2" customFormat="1" ht="101.25" spans="1:32">
      <c r="A94" s="99">
        <f t="shared" si="8"/>
        <v>12</v>
      </c>
      <c r="B94" s="100"/>
      <c r="C94" s="99" t="s">
        <v>780</v>
      </c>
      <c r="D94" s="101" t="s">
        <v>781</v>
      </c>
      <c r="E94" s="99" t="s">
        <v>782</v>
      </c>
      <c r="F94" s="99" t="s">
        <v>141</v>
      </c>
      <c r="G94" s="99" t="s">
        <v>517</v>
      </c>
      <c r="H94" s="99"/>
      <c r="I94" s="113"/>
      <c r="J94" s="99"/>
      <c r="K94" s="101"/>
      <c r="L94" s="99"/>
      <c r="M94" s="99" t="s">
        <v>783</v>
      </c>
      <c r="N94" s="3" t="s">
        <v>774</v>
      </c>
      <c r="P94" s="70"/>
      <c r="S94" s="99">
        <f>S92+1</f>
        <v>11</v>
      </c>
      <c r="T94" s="100"/>
      <c r="U94" s="99" t="s">
        <v>780</v>
      </c>
      <c r="V94" s="101" t="s">
        <v>781</v>
      </c>
      <c r="W94" s="99" t="s">
        <v>784</v>
      </c>
      <c r="X94" s="99" t="s">
        <v>141</v>
      </c>
      <c r="Y94" s="99" t="s">
        <v>517</v>
      </c>
      <c r="Z94" s="99"/>
      <c r="AA94" s="113"/>
      <c r="AB94" s="99"/>
      <c r="AC94" s="101"/>
      <c r="AD94" s="99"/>
      <c r="AE94" s="99" t="s">
        <v>785</v>
      </c>
      <c r="AF94" s="3" t="s">
        <v>776</v>
      </c>
    </row>
    <row r="95" s="2" customFormat="1" ht="33.75" spans="1:32">
      <c r="A95" s="99">
        <f t="shared" ref="A95:A97" si="9">A94+1</f>
        <v>13</v>
      </c>
      <c r="B95" s="100"/>
      <c r="C95" s="99" t="s">
        <v>786</v>
      </c>
      <c r="D95" s="101" t="s">
        <v>787</v>
      </c>
      <c r="E95" s="99"/>
      <c r="F95" s="99" t="s">
        <v>141</v>
      </c>
      <c r="G95" s="99" t="s">
        <v>142</v>
      </c>
      <c r="H95" s="99">
        <v>14</v>
      </c>
      <c r="I95" s="113"/>
      <c r="J95" s="99"/>
      <c r="K95" s="99"/>
      <c r="L95" s="99"/>
      <c r="M95" s="99" t="s">
        <v>788</v>
      </c>
      <c r="N95" s="3" t="s">
        <v>774</v>
      </c>
      <c r="P95" s="70"/>
      <c r="S95" s="99">
        <f t="shared" si="7"/>
        <v>12</v>
      </c>
      <c r="T95" s="100"/>
      <c r="U95" s="99" t="s">
        <v>786</v>
      </c>
      <c r="V95" s="101" t="s">
        <v>787</v>
      </c>
      <c r="W95" s="99"/>
      <c r="X95" s="99" t="s">
        <v>141</v>
      </c>
      <c r="Y95" s="99" t="s">
        <v>142</v>
      </c>
      <c r="Z95" s="99">
        <v>14</v>
      </c>
      <c r="AA95" s="113"/>
      <c r="AB95" s="99"/>
      <c r="AC95" s="99"/>
      <c r="AD95" s="99"/>
      <c r="AE95" s="99" t="s">
        <v>789</v>
      </c>
      <c r="AF95" s="3" t="s">
        <v>776</v>
      </c>
    </row>
    <row r="96" s="2" customFormat="1" ht="33.75" spans="1:32">
      <c r="A96" s="99">
        <f t="shared" si="9"/>
        <v>14</v>
      </c>
      <c r="B96" s="100"/>
      <c r="C96" s="99" t="s">
        <v>790</v>
      </c>
      <c r="D96" s="101" t="s">
        <v>791</v>
      </c>
      <c r="E96" s="99" t="s">
        <v>792</v>
      </c>
      <c r="F96" s="99" t="s">
        <v>267</v>
      </c>
      <c r="G96" s="99" t="s">
        <v>254</v>
      </c>
      <c r="H96" s="99" t="s">
        <v>8</v>
      </c>
      <c r="I96" s="113" t="s">
        <v>22</v>
      </c>
      <c r="J96" s="99">
        <v>1</v>
      </c>
      <c r="K96" s="99"/>
      <c r="L96" s="99"/>
      <c r="M96" s="99" t="s">
        <v>255</v>
      </c>
      <c r="N96" s="3" t="s">
        <v>774</v>
      </c>
      <c r="P96" s="70"/>
      <c r="S96" s="99">
        <f t="shared" si="7"/>
        <v>13</v>
      </c>
      <c r="T96" s="100"/>
      <c r="U96" s="99" t="s">
        <v>790</v>
      </c>
      <c r="V96" s="101" t="s">
        <v>791</v>
      </c>
      <c r="W96" s="99" t="s">
        <v>793</v>
      </c>
      <c r="X96" s="99" t="s">
        <v>267</v>
      </c>
      <c r="Y96" s="99" t="s">
        <v>254</v>
      </c>
      <c r="Z96" s="99" t="s">
        <v>8</v>
      </c>
      <c r="AA96" s="113" t="s">
        <v>22</v>
      </c>
      <c r="AB96" s="99">
        <v>1</v>
      </c>
      <c r="AC96" s="99"/>
      <c r="AD96" s="99"/>
      <c r="AE96" s="99" t="s">
        <v>257</v>
      </c>
      <c r="AF96" s="3" t="s">
        <v>776</v>
      </c>
    </row>
    <row r="97" s="2" customFormat="1" spans="1:31">
      <c r="A97" s="53">
        <f t="shared" si="9"/>
        <v>15</v>
      </c>
      <c r="B97" s="62"/>
      <c r="C97" s="61" t="s">
        <v>794</v>
      </c>
      <c r="D97" s="63" t="s">
        <v>795</v>
      </c>
      <c r="E97" s="105" t="s">
        <v>796</v>
      </c>
      <c r="F97" s="61" t="s">
        <v>153</v>
      </c>
      <c r="G97" s="61" t="s">
        <v>254</v>
      </c>
      <c r="H97" s="61" t="s">
        <v>8</v>
      </c>
      <c r="I97" s="69"/>
      <c r="J97" s="61">
        <v>0</v>
      </c>
      <c r="K97" s="61"/>
      <c r="L97" s="61"/>
      <c r="M97" s="61" t="s">
        <v>230</v>
      </c>
      <c r="P97" s="70"/>
      <c r="S97" s="53">
        <f t="shared" si="7"/>
        <v>14</v>
      </c>
      <c r="T97" s="62"/>
      <c r="U97" s="61" t="s">
        <v>794</v>
      </c>
      <c r="V97" s="63" t="s">
        <v>795</v>
      </c>
      <c r="W97" s="61"/>
      <c r="X97" s="61" t="s">
        <v>153</v>
      </c>
      <c r="Y97" s="61" t="s">
        <v>254</v>
      </c>
      <c r="Z97" s="61" t="s">
        <v>8</v>
      </c>
      <c r="AA97" s="69"/>
      <c r="AB97" s="61">
        <v>0</v>
      </c>
      <c r="AC97" s="61"/>
      <c r="AD97" s="61"/>
      <c r="AE97" s="61" t="s">
        <v>230</v>
      </c>
    </row>
    <row r="98" s="2" customFormat="1" spans="1:31">
      <c r="A98" s="61">
        <f t="shared" si="6"/>
        <v>16</v>
      </c>
      <c r="B98" s="62"/>
      <c r="C98" s="61" t="s">
        <v>797</v>
      </c>
      <c r="D98" s="63" t="s">
        <v>443</v>
      </c>
      <c r="E98" s="61"/>
      <c r="F98" s="61" t="s">
        <v>153</v>
      </c>
      <c r="G98" s="61" t="s">
        <v>254</v>
      </c>
      <c r="H98" s="61" t="s">
        <v>8</v>
      </c>
      <c r="I98" s="69"/>
      <c r="J98" s="61"/>
      <c r="K98" s="61"/>
      <c r="L98" s="61"/>
      <c r="M98" s="61" t="s">
        <v>230</v>
      </c>
      <c r="P98" s="70"/>
      <c r="S98" s="61">
        <f t="shared" ref="S98:S109" si="10">S97+1</f>
        <v>15</v>
      </c>
      <c r="T98" s="62"/>
      <c r="U98" s="61" t="s">
        <v>797</v>
      </c>
      <c r="V98" s="63" t="s">
        <v>443</v>
      </c>
      <c r="W98" s="61"/>
      <c r="X98" s="61" t="s">
        <v>153</v>
      </c>
      <c r="Y98" s="61" t="s">
        <v>254</v>
      </c>
      <c r="Z98" s="61" t="s">
        <v>8</v>
      </c>
      <c r="AA98" s="69"/>
      <c r="AB98" s="61"/>
      <c r="AC98" s="61"/>
      <c r="AD98" s="61"/>
      <c r="AE98" s="61" t="s">
        <v>230</v>
      </c>
    </row>
    <row r="99" s="2" customFormat="1" spans="1:31">
      <c r="A99" s="61">
        <f t="shared" si="6"/>
        <v>17</v>
      </c>
      <c r="B99" s="62"/>
      <c r="C99" s="61" t="s">
        <v>798</v>
      </c>
      <c r="D99" s="63" t="s">
        <v>799</v>
      </c>
      <c r="E99" s="61"/>
      <c r="F99" s="61" t="s">
        <v>141</v>
      </c>
      <c r="G99" s="61" t="s">
        <v>142</v>
      </c>
      <c r="H99" s="61">
        <v>4</v>
      </c>
      <c r="I99" s="69"/>
      <c r="J99" s="61"/>
      <c r="K99" s="61"/>
      <c r="L99" s="61"/>
      <c r="M99" s="61" t="s">
        <v>230</v>
      </c>
      <c r="P99" s="70"/>
      <c r="S99" s="61">
        <f t="shared" si="10"/>
        <v>16</v>
      </c>
      <c r="T99" s="62"/>
      <c r="U99" s="61" t="s">
        <v>798</v>
      </c>
      <c r="V99" s="63" t="s">
        <v>799</v>
      </c>
      <c r="W99" s="61"/>
      <c r="X99" s="61" t="s">
        <v>141</v>
      </c>
      <c r="Y99" s="61" t="s">
        <v>142</v>
      </c>
      <c r="Z99" s="61">
        <v>4</v>
      </c>
      <c r="AA99" s="69"/>
      <c r="AB99" s="61"/>
      <c r="AC99" s="61"/>
      <c r="AD99" s="61"/>
      <c r="AE99" s="61" t="s">
        <v>230</v>
      </c>
    </row>
    <row r="100" s="2" customFormat="1" spans="1:31">
      <c r="A100" s="31">
        <f t="shared" si="6"/>
        <v>18</v>
      </c>
      <c r="B100" s="59"/>
      <c r="C100" s="31" t="s">
        <v>800</v>
      </c>
      <c r="D100" s="87" t="s">
        <v>801</v>
      </c>
      <c r="E100" s="31" t="s">
        <v>802</v>
      </c>
      <c r="F100" s="31" t="s">
        <v>141</v>
      </c>
      <c r="G100" s="31" t="s">
        <v>142</v>
      </c>
      <c r="H100" s="31">
        <v>32</v>
      </c>
      <c r="I100" s="43"/>
      <c r="J100" s="31"/>
      <c r="K100" s="31"/>
      <c r="L100" s="31"/>
      <c r="M100" s="31"/>
      <c r="P100" s="70"/>
      <c r="S100" s="31">
        <f t="shared" si="10"/>
        <v>17</v>
      </c>
      <c r="T100" s="59"/>
      <c r="U100" s="31" t="s">
        <v>800</v>
      </c>
      <c r="V100" s="87" t="s">
        <v>801</v>
      </c>
      <c r="W100" s="31" t="s">
        <v>803</v>
      </c>
      <c r="X100" s="31" t="s">
        <v>141</v>
      </c>
      <c r="Y100" s="31" t="s">
        <v>142</v>
      </c>
      <c r="Z100" s="31">
        <v>32</v>
      </c>
      <c r="AA100" s="43"/>
      <c r="AB100" s="31"/>
      <c r="AC100" s="31"/>
      <c r="AD100" s="31"/>
      <c r="AE100" s="31"/>
    </row>
    <row r="101" s="2" customFormat="1" spans="1:31">
      <c r="A101" s="31">
        <f t="shared" si="6"/>
        <v>19</v>
      </c>
      <c r="B101" s="59"/>
      <c r="C101" s="31" t="s">
        <v>804</v>
      </c>
      <c r="D101" s="87" t="s">
        <v>805</v>
      </c>
      <c r="E101" s="31"/>
      <c r="F101" s="31" t="s">
        <v>141</v>
      </c>
      <c r="G101" s="31" t="s">
        <v>142</v>
      </c>
      <c r="H101" s="31">
        <v>11</v>
      </c>
      <c r="I101" s="43"/>
      <c r="J101" s="31"/>
      <c r="K101" s="31"/>
      <c r="L101" s="31"/>
      <c r="M101" s="31"/>
      <c r="P101" s="70"/>
      <c r="S101" s="31">
        <f t="shared" si="10"/>
        <v>18</v>
      </c>
      <c r="T101" s="59"/>
      <c r="U101" s="31" t="s">
        <v>804</v>
      </c>
      <c r="V101" s="87" t="s">
        <v>805</v>
      </c>
      <c r="W101" s="31"/>
      <c r="X101" s="31" t="s">
        <v>141</v>
      </c>
      <c r="Y101" s="31" t="s">
        <v>142</v>
      </c>
      <c r="Z101" s="31">
        <v>11</v>
      </c>
      <c r="AA101" s="43"/>
      <c r="AB101" s="31"/>
      <c r="AC101" s="31"/>
      <c r="AD101" s="31"/>
      <c r="AE101" s="31"/>
    </row>
    <row r="102" s="2" customFormat="1" spans="1:31">
      <c r="A102" s="61">
        <f t="shared" si="6"/>
        <v>20</v>
      </c>
      <c r="B102" s="62"/>
      <c r="C102" s="61" t="s">
        <v>806</v>
      </c>
      <c r="D102" s="63" t="s">
        <v>807</v>
      </c>
      <c r="E102" s="61"/>
      <c r="F102" s="61" t="s">
        <v>141</v>
      </c>
      <c r="G102" s="61" t="s">
        <v>142</v>
      </c>
      <c r="H102" s="61">
        <v>64</v>
      </c>
      <c r="I102" s="69"/>
      <c r="J102" s="61"/>
      <c r="K102" s="61"/>
      <c r="L102" s="61"/>
      <c r="M102" s="61" t="s">
        <v>230</v>
      </c>
      <c r="P102" s="70"/>
      <c r="S102" s="61">
        <f t="shared" si="10"/>
        <v>19</v>
      </c>
      <c r="T102" s="62"/>
      <c r="U102" s="61" t="s">
        <v>806</v>
      </c>
      <c r="V102" s="63" t="s">
        <v>807</v>
      </c>
      <c r="W102" s="61"/>
      <c r="X102" s="61" t="s">
        <v>141</v>
      </c>
      <c r="Y102" s="61" t="s">
        <v>142</v>
      </c>
      <c r="Z102" s="61">
        <v>64</v>
      </c>
      <c r="AA102" s="69"/>
      <c r="AB102" s="61"/>
      <c r="AC102" s="61"/>
      <c r="AD102" s="61"/>
      <c r="AE102" s="61" t="s">
        <v>230</v>
      </c>
    </row>
    <row r="103" s="2" customFormat="1" spans="1:31">
      <c r="A103" s="61">
        <f t="shared" si="6"/>
        <v>21</v>
      </c>
      <c r="B103" s="62"/>
      <c r="C103" s="61" t="s">
        <v>808</v>
      </c>
      <c r="D103" s="63" t="s">
        <v>809</v>
      </c>
      <c r="E103" s="61"/>
      <c r="F103" s="61" t="s">
        <v>153</v>
      </c>
      <c r="G103" s="61" t="s">
        <v>142</v>
      </c>
      <c r="H103" s="61" t="s">
        <v>8</v>
      </c>
      <c r="I103" s="69"/>
      <c r="J103" s="61"/>
      <c r="K103" s="61"/>
      <c r="L103" s="61"/>
      <c r="M103" s="61" t="s">
        <v>230</v>
      </c>
      <c r="P103" s="70"/>
      <c r="S103" s="61">
        <f t="shared" si="10"/>
        <v>20</v>
      </c>
      <c r="T103" s="62"/>
      <c r="U103" s="61" t="s">
        <v>808</v>
      </c>
      <c r="V103" s="63" t="s">
        <v>809</v>
      </c>
      <c r="W103" s="61"/>
      <c r="X103" s="61" t="s">
        <v>153</v>
      </c>
      <c r="Y103" s="61" t="s">
        <v>142</v>
      </c>
      <c r="Z103" s="61" t="s">
        <v>8</v>
      </c>
      <c r="AA103" s="69"/>
      <c r="AB103" s="61"/>
      <c r="AC103" s="61"/>
      <c r="AD103" s="61"/>
      <c r="AE103" s="61" t="s">
        <v>230</v>
      </c>
    </row>
    <row r="104" s="2" customFormat="1" ht="22.5" spans="1:31">
      <c r="A104" s="31">
        <f t="shared" si="6"/>
        <v>22</v>
      </c>
      <c r="B104" s="59"/>
      <c r="C104" s="31" t="s">
        <v>810</v>
      </c>
      <c r="D104" s="87" t="s">
        <v>811</v>
      </c>
      <c r="E104" s="31" t="s">
        <v>812</v>
      </c>
      <c r="F104" s="31" t="s">
        <v>153</v>
      </c>
      <c r="G104" s="31" t="s">
        <v>254</v>
      </c>
      <c r="H104" s="31" t="s">
        <v>8</v>
      </c>
      <c r="I104" s="43"/>
      <c r="J104" s="31">
        <v>0</v>
      </c>
      <c r="K104" s="31"/>
      <c r="L104" s="31"/>
      <c r="M104" s="31"/>
      <c r="P104" s="70"/>
      <c r="S104" s="31">
        <f t="shared" si="10"/>
        <v>21</v>
      </c>
      <c r="T104" s="59"/>
      <c r="U104" s="31" t="s">
        <v>810</v>
      </c>
      <c r="V104" s="87" t="s">
        <v>811</v>
      </c>
      <c r="W104" s="31" t="s">
        <v>813</v>
      </c>
      <c r="X104" s="31" t="s">
        <v>153</v>
      </c>
      <c r="Y104" s="31" t="s">
        <v>254</v>
      </c>
      <c r="Z104" s="31" t="s">
        <v>8</v>
      </c>
      <c r="AA104" s="43"/>
      <c r="AB104" s="31">
        <v>0</v>
      </c>
      <c r="AC104" s="31"/>
      <c r="AD104" s="31"/>
      <c r="AE104" s="31"/>
    </row>
    <row r="105" s="2" customFormat="1" spans="1:31">
      <c r="A105" s="61">
        <f t="shared" si="6"/>
        <v>23</v>
      </c>
      <c r="B105" s="62"/>
      <c r="C105" s="61" t="s">
        <v>814</v>
      </c>
      <c r="D105" s="63" t="s">
        <v>815</v>
      </c>
      <c r="E105" s="61"/>
      <c r="F105" s="61" t="s">
        <v>153</v>
      </c>
      <c r="G105" s="61" t="s">
        <v>142</v>
      </c>
      <c r="H105" s="61" t="s">
        <v>8</v>
      </c>
      <c r="I105" s="69"/>
      <c r="J105" s="61">
        <v>0</v>
      </c>
      <c r="K105" s="61"/>
      <c r="L105" s="61"/>
      <c r="M105" s="61" t="s">
        <v>230</v>
      </c>
      <c r="P105" s="70"/>
      <c r="S105" s="61">
        <f t="shared" si="10"/>
        <v>22</v>
      </c>
      <c r="T105" s="62"/>
      <c r="U105" s="61" t="s">
        <v>814</v>
      </c>
      <c r="V105" s="63" t="s">
        <v>815</v>
      </c>
      <c r="W105" s="61"/>
      <c r="X105" s="61" t="s">
        <v>153</v>
      </c>
      <c r="Y105" s="61" t="s">
        <v>142</v>
      </c>
      <c r="Z105" s="61" t="s">
        <v>8</v>
      </c>
      <c r="AA105" s="69"/>
      <c r="AB105" s="61">
        <v>0</v>
      </c>
      <c r="AC105" s="61"/>
      <c r="AD105" s="61"/>
      <c r="AE105" s="61" t="s">
        <v>230</v>
      </c>
    </row>
    <row r="106" s="2" customFormat="1" ht="191.25" spans="1:31">
      <c r="A106" s="31">
        <f t="shared" si="6"/>
        <v>24</v>
      </c>
      <c r="B106" s="59"/>
      <c r="C106" s="31" t="s">
        <v>816</v>
      </c>
      <c r="D106" s="87" t="s">
        <v>817</v>
      </c>
      <c r="E106" s="32" t="s">
        <v>818</v>
      </c>
      <c r="F106" s="31" t="s">
        <v>141</v>
      </c>
      <c r="G106" s="31" t="s">
        <v>142</v>
      </c>
      <c r="H106" s="31">
        <v>10</v>
      </c>
      <c r="I106" s="43"/>
      <c r="J106" s="31"/>
      <c r="K106" s="31"/>
      <c r="L106" s="31"/>
      <c r="M106" s="31" t="s">
        <v>819</v>
      </c>
      <c r="P106" s="70"/>
      <c r="S106" s="31">
        <f t="shared" si="10"/>
        <v>23</v>
      </c>
      <c r="T106" s="59"/>
      <c r="U106" s="31" t="s">
        <v>816</v>
      </c>
      <c r="V106" s="87" t="s">
        <v>817</v>
      </c>
      <c r="W106" s="32" t="s">
        <v>820</v>
      </c>
      <c r="X106" s="31" t="s">
        <v>141</v>
      </c>
      <c r="Y106" s="31" t="s">
        <v>142</v>
      </c>
      <c r="Z106" s="31">
        <v>10</v>
      </c>
      <c r="AA106" s="43"/>
      <c r="AB106" s="31"/>
      <c r="AC106" s="31"/>
      <c r="AD106" s="31"/>
      <c r="AE106" s="31" t="s">
        <v>821</v>
      </c>
    </row>
    <row r="107" s="2" customFormat="1" ht="56.25" spans="1:31">
      <c r="A107" s="31">
        <f t="shared" si="6"/>
        <v>25</v>
      </c>
      <c r="B107" s="59"/>
      <c r="C107" s="31" t="s">
        <v>822</v>
      </c>
      <c r="D107" s="87" t="s">
        <v>595</v>
      </c>
      <c r="E107" s="31" t="s">
        <v>823</v>
      </c>
      <c r="F107" s="31" t="s">
        <v>141</v>
      </c>
      <c r="G107" s="31" t="s">
        <v>142</v>
      </c>
      <c r="H107" s="31">
        <v>10</v>
      </c>
      <c r="I107" s="43"/>
      <c r="J107" s="31"/>
      <c r="K107" s="31"/>
      <c r="L107" s="31"/>
      <c r="M107" s="31" t="s">
        <v>824</v>
      </c>
      <c r="P107" s="70"/>
      <c r="S107" s="31">
        <f t="shared" si="10"/>
        <v>24</v>
      </c>
      <c r="T107" s="59"/>
      <c r="U107" s="31" t="s">
        <v>822</v>
      </c>
      <c r="V107" s="87" t="s">
        <v>595</v>
      </c>
      <c r="W107" s="31" t="s">
        <v>825</v>
      </c>
      <c r="X107" s="31" t="s">
        <v>141</v>
      </c>
      <c r="Y107" s="31" t="s">
        <v>142</v>
      </c>
      <c r="Z107" s="31">
        <v>10</v>
      </c>
      <c r="AA107" s="43"/>
      <c r="AB107" s="31"/>
      <c r="AC107" s="31"/>
      <c r="AD107" s="31"/>
      <c r="AE107" s="31" t="s">
        <v>826</v>
      </c>
    </row>
    <row r="108" s="2" customFormat="1" ht="247.5" spans="1:32">
      <c r="A108" s="106">
        <f t="shared" si="6"/>
        <v>26</v>
      </c>
      <c r="B108" s="107"/>
      <c r="C108" s="106" t="s">
        <v>606</v>
      </c>
      <c r="D108" s="108" t="s">
        <v>827</v>
      </c>
      <c r="E108" s="106" t="s">
        <v>828</v>
      </c>
      <c r="F108" s="106"/>
      <c r="G108" s="106" t="s">
        <v>517</v>
      </c>
      <c r="H108" s="106"/>
      <c r="I108" s="115"/>
      <c r="J108" s="106"/>
      <c r="K108" s="106"/>
      <c r="L108" s="106"/>
      <c r="M108" s="106" t="s">
        <v>829</v>
      </c>
      <c r="N108" s="3" t="s">
        <v>779</v>
      </c>
      <c r="P108" s="70"/>
      <c r="S108" s="106">
        <f t="shared" si="10"/>
        <v>25</v>
      </c>
      <c r="T108" s="107"/>
      <c r="U108" s="106" t="s">
        <v>606</v>
      </c>
      <c r="V108" s="108" t="s">
        <v>827</v>
      </c>
      <c r="W108" s="106" t="s">
        <v>830</v>
      </c>
      <c r="X108" s="106"/>
      <c r="Y108" s="106" t="s">
        <v>517</v>
      </c>
      <c r="Z108" s="106"/>
      <c r="AA108" s="115"/>
      <c r="AB108" s="106"/>
      <c r="AC108" s="106"/>
      <c r="AD108" s="106"/>
      <c r="AE108" s="106" t="s">
        <v>831</v>
      </c>
      <c r="AF108" s="3" t="s">
        <v>832</v>
      </c>
    </row>
    <row r="109" s="2" customFormat="1" ht="270" spans="1:32">
      <c r="A109" s="106">
        <f t="shared" si="6"/>
        <v>27</v>
      </c>
      <c r="B109" s="107"/>
      <c r="C109" s="106" t="s">
        <v>607</v>
      </c>
      <c r="D109" s="108" t="s">
        <v>833</v>
      </c>
      <c r="E109" s="106" t="s">
        <v>834</v>
      </c>
      <c r="F109" s="106"/>
      <c r="G109" s="106" t="s">
        <v>517</v>
      </c>
      <c r="H109" s="106"/>
      <c r="I109" s="115"/>
      <c r="J109" s="106"/>
      <c r="K109" s="106"/>
      <c r="L109" s="106"/>
      <c r="M109" s="106"/>
      <c r="N109" s="3" t="s">
        <v>779</v>
      </c>
      <c r="P109" s="70"/>
      <c r="S109" s="106">
        <f t="shared" si="10"/>
        <v>26</v>
      </c>
      <c r="T109" s="107"/>
      <c r="U109" s="106" t="s">
        <v>607</v>
      </c>
      <c r="V109" s="108" t="s">
        <v>833</v>
      </c>
      <c r="W109" s="106" t="s">
        <v>835</v>
      </c>
      <c r="X109" s="106"/>
      <c r="Y109" s="106" t="s">
        <v>517</v>
      </c>
      <c r="Z109" s="106"/>
      <c r="AA109" s="115"/>
      <c r="AB109" s="106"/>
      <c r="AC109" s="106"/>
      <c r="AD109" s="106"/>
      <c r="AE109" s="106"/>
      <c r="AF109" s="3" t="s">
        <v>832</v>
      </c>
    </row>
    <row r="110" s="2" customFormat="1" ht="191.25" spans="1:32">
      <c r="A110" s="106">
        <f>A112+1</f>
        <v>30</v>
      </c>
      <c r="B110" s="107" t="s">
        <v>836</v>
      </c>
      <c r="C110" s="106" t="s">
        <v>837</v>
      </c>
      <c r="D110" s="108" t="s">
        <v>838</v>
      </c>
      <c r="E110" s="106" t="s">
        <v>839</v>
      </c>
      <c r="F110" s="106"/>
      <c r="G110" s="106" t="s">
        <v>517</v>
      </c>
      <c r="H110" s="106"/>
      <c r="I110" s="115"/>
      <c r="J110" s="106"/>
      <c r="K110" s="106"/>
      <c r="L110" s="106"/>
      <c r="M110" s="116" t="s">
        <v>840</v>
      </c>
      <c r="N110" s="3" t="s">
        <v>779</v>
      </c>
      <c r="P110" s="70"/>
      <c r="S110" s="106">
        <f>S112+1</f>
        <v>29</v>
      </c>
      <c r="T110" s="107"/>
      <c r="U110" s="106" t="s">
        <v>837</v>
      </c>
      <c r="V110" s="108" t="s">
        <v>838</v>
      </c>
      <c r="W110" s="106" t="s">
        <v>841</v>
      </c>
      <c r="X110" s="106"/>
      <c r="Y110" s="106" t="s">
        <v>517</v>
      </c>
      <c r="Z110" s="106"/>
      <c r="AA110" s="115"/>
      <c r="AB110" s="106"/>
      <c r="AC110" s="106"/>
      <c r="AD110" s="106"/>
      <c r="AE110" s="106" t="s">
        <v>842</v>
      </c>
      <c r="AF110" s="3" t="s">
        <v>832</v>
      </c>
    </row>
    <row r="111" s="2" customFormat="1" ht="56.25" spans="1:32">
      <c r="A111" s="106">
        <f>A109+1</f>
        <v>28</v>
      </c>
      <c r="B111" s="107"/>
      <c r="C111" s="109" t="s">
        <v>843</v>
      </c>
      <c r="D111" s="108" t="s">
        <v>844</v>
      </c>
      <c r="E111" s="109" t="s">
        <v>845</v>
      </c>
      <c r="F111" s="106"/>
      <c r="G111" s="106" t="s">
        <v>254</v>
      </c>
      <c r="H111" s="106"/>
      <c r="I111" s="115"/>
      <c r="J111" s="106"/>
      <c r="K111" s="106"/>
      <c r="L111" s="106"/>
      <c r="M111" s="106"/>
      <c r="N111" s="3" t="s">
        <v>779</v>
      </c>
      <c r="P111" s="70"/>
      <c r="S111" s="106">
        <f>S109+1</f>
        <v>27</v>
      </c>
      <c r="T111" s="107"/>
      <c r="U111" s="109" t="s">
        <v>843</v>
      </c>
      <c r="V111" s="108" t="s">
        <v>844</v>
      </c>
      <c r="W111" s="109" t="s">
        <v>846</v>
      </c>
      <c r="X111" s="106"/>
      <c r="Y111" s="106" t="s">
        <v>254</v>
      </c>
      <c r="Z111" s="106"/>
      <c r="AA111" s="115"/>
      <c r="AB111" s="106"/>
      <c r="AC111" s="106"/>
      <c r="AD111" s="106"/>
      <c r="AE111" s="106"/>
      <c r="AF111" s="3" t="s">
        <v>832</v>
      </c>
    </row>
    <row r="112" s="2" customFormat="1" ht="56.25" spans="1:32">
      <c r="A112" s="106">
        <f t="shared" si="6"/>
        <v>29</v>
      </c>
      <c r="B112" s="107"/>
      <c r="C112" s="109" t="s">
        <v>847</v>
      </c>
      <c r="D112" s="108" t="s">
        <v>848</v>
      </c>
      <c r="E112" s="109" t="s">
        <v>845</v>
      </c>
      <c r="F112" s="106"/>
      <c r="G112" s="106" t="s">
        <v>254</v>
      </c>
      <c r="H112" s="106"/>
      <c r="I112" s="115"/>
      <c r="J112" s="106"/>
      <c r="K112" s="106"/>
      <c r="L112" s="106"/>
      <c r="M112" s="106"/>
      <c r="N112" s="3" t="s">
        <v>779</v>
      </c>
      <c r="P112" s="70"/>
      <c r="S112" s="106">
        <f t="shared" ref="S112:S162" si="11">S111+1</f>
        <v>28</v>
      </c>
      <c r="T112" s="107"/>
      <c r="U112" s="109" t="s">
        <v>847</v>
      </c>
      <c r="V112" s="108" t="s">
        <v>848</v>
      </c>
      <c r="W112" s="109" t="s">
        <v>846</v>
      </c>
      <c r="X112" s="106"/>
      <c r="Y112" s="106" t="s">
        <v>254</v>
      </c>
      <c r="Z112" s="106"/>
      <c r="AA112" s="115"/>
      <c r="AB112" s="106"/>
      <c r="AC112" s="106"/>
      <c r="AD112" s="106"/>
      <c r="AE112" s="106"/>
      <c r="AF112" s="3" t="s">
        <v>832</v>
      </c>
    </row>
    <row r="113" s="2" customFormat="1" spans="1:31">
      <c r="A113" s="53">
        <f t="shared" si="6"/>
        <v>30</v>
      </c>
      <c r="B113" s="62"/>
      <c r="C113" s="61" t="s">
        <v>849</v>
      </c>
      <c r="D113" s="63" t="s">
        <v>850</v>
      </c>
      <c r="E113" s="61"/>
      <c r="F113" s="61" t="s">
        <v>141</v>
      </c>
      <c r="G113" s="61" t="s">
        <v>142</v>
      </c>
      <c r="H113" s="61">
        <v>10</v>
      </c>
      <c r="I113" s="69"/>
      <c r="J113" s="61"/>
      <c r="K113" s="61"/>
      <c r="L113" s="61"/>
      <c r="M113" s="61" t="s">
        <v>230</v>
      </c>
      <c r="P113" s="70"/>
      <c r="S113" s="53">
        <f t="shared" si="11"/>
        <v>29</v>
      </c>
      <c r="T113" s="62"/>
      <c r="U113" s="61" t="s">
        <v>849</v>
      </c>
      <c r="V113" s="63" t="s">
        <v>850</v>
      </c>
      <c r="W113" s="61"/>
      <c r="X113" s="61" t="s">
        <v>141</v>
      </c>
      <c r="Y113" s="61" t="s">
        <v>142</v>
      </c>
      <c r="Z113" s="61">
        <v>10</v>
      </c>
      <c r="AA113" s="69"/>
      <c r="AB113" s="61"/>
      <c r="AC113" s="61"/>
      <c r="AD113" s="61"/>
      <c r="AE113" s="61" t="s">
        <v>230</v>
      </c>
    </row>
    <row r="114" s="2" customFormat="1" spans="1:31">
      <c r="A114" s="61">
        <f t="shared" si="6"/>
        <v>31</v>
      </c>
      <c r="B114" s="62"/>
      <c r="C114" s="61" t="s">
        <v>851</v>
      </c>
      <c r="D114" s="63" t="s">
        <v>852</v>
      </c>
      <c r="E114" s="61"/>
      <c r="F114" s="61" t="s">
        <v>141</v>
      </c>
      <c r="G114" s="61" t="s">
        <v>142</v>
      </c>
      <c r="H114" s="61">
        <v>32</v>
      </c>
      <c r="I114" s="69"/>
      <c r="J114" s="61"/>
      <c r="K114" s="61"/>
      <c r="L114" s="61"/>
      <c r="M114" s="61" t="s">
        <v>230</v>
      </c>
      <c r="P114" s="70"/>
      <c r="S114" s="61">
        <f t="shared" si="11"/>
        <v>30</v>
      </c>
      <c r="T114" s="62"/>
      <c r="U114" s="61" t="s">
        <v>851</v>
      </c>
      <c r="V114" s="63" t="s">
        <v>852</v>
      </c>
      <c r="W114" s="61"/>
      <c r="X114" s="61" t="s">
        <v>141</v>
      </c>
      <c r="Y114" s="61" t="s">
        <v>142</v>
      </c>
      <c r="Z114" s="61">
        <v>32</v>
      </c>
      <c r="AA114" s="69"/>
      <c r="AB114" s="61"/>
      <c r="AC114" s="61"/>
      <c r="AD114" s="61"/>
      <c r="AE114" s="61" t="s">
        <v>230</v>
      </c>
    </row>
    <row r="115" s="2" customFormat="1" spans="1:31">
      <c r="A115" s="61">
        <f t="shared" si="6"/>
        <v>32</v>
      </c>
      <c r="B115" s="62"/>
      <c r="C115" s="61" t="s">
        <v>853</v>
      </c>
      <c r="D115" s="63" t="s">
        <v>854</v>
      </c>
      <c r="E115" s="61"/>
      <c r="F115" s="61" t="s">
        <v>141</v>
      </c>
      <c r="G115" s="61" t="s">
        <v>142</v>
      </c>
      <c r="H115" s="61">
        <v>32</v>
      </c>
      <c r="I115" s="69"/>
      <c r="J115" s="61"/>
      <c r="K115" s="61"/>
      <c r="L115" s="61"/>
      <c r="M115" s="61" t="s">
        <v>230</v>
      </c>
      <c r="P115" s="70"/>
      <c r="S115" s="61">
        <f t="shared" si="11"/>
        <v>31</v>
      </c>
      <c r="T115" s="62"/>
      <c r="U115" s="61" t="s">
        <v>853</v>
      </c>
      <c r="V115" s="63" t="s">
        <v>854</v>
      </c>
      <c r="W115" s="61"/>
      <c r="X115" s="61" t="s">
        <v>141</v>
      </c>
      <c r="Y115" s="61" t="s">
        <v>142</v>
      </c>
      <c r="Z115" s="61">
        <v>32</v>
      </c>
      <c r="AA115" s="69"/>
      <c r="AB115" s="61"/>
      <c r="AC115" s="61"/>
      <c r="AD115" s="61"/>
      <c r="AE115" s="61" t="s">
        <v>230</v>
      </c>
    </row>
    <row r="116" s="2" customFormat="1" spans="1:31">
      <c r="A116" s="61">
        <f t="shared" si="6"/>
        <v>33</v>
      </c>
      <c r="B116" s="62"/>
      <c r="C116" s="61" t="s">
        <v>855</v>
      </c>
      <c r="D116" s="63" t="s">
        <v>856</v>
      </c>
      <c r="E116" s="61"/>
      <c r="F116" s="61" t="s">
        <v>141</v>
      </c>
      <c r="G116" s="61" t="s">
        <v>142</v>
      </c>
      <c r="H116" s="61">
        <v>32</v>
      </c>
      <c r="I116" s="69"/>
      <c r="J116" s="61"/>
      <c r="K116" s="61"/>
      <c r="L116" s="61"/>
      <c r="M116" s="61" t="s">
        <v>230</v>
      </c>
      <c r="P116" s="70"/>
      <c r="S116" s="61">
        <f t="shared" si="11"/>
        <v>32</v>
      </c>
      <c r="T116" s="62"/>
      <c r="U116" s="61" t="s">
        <v>855</v>
      </c>
      <c r="V116" s="63" t="s">
        <v>856</v>
      </c>
      <c r="W116" s="61"/>
      <c r="X116" s="61" t="s">
        <v>141</v>
      </c>
      <c r="Y116" s="61" t="s">
        <v>142</v>
      </c>
      <c r="Z116" s="61">
        <v>32</v>
      </c>
      <c r="AA116" s="69"/>
      <c r="AB116" s="61"/>
      <c r="AC116" s="61"/>
      <c r="AD116" s="61"/>
      <c r="AE116" s="61" t="s">
        <v>230</v>
      </c>
    </row>
    <row r="117" s="2" customFormat="1" spans="1:31">
      <c r="A117" s="61">
        <f t="shared" si="6"/>
        <v>34</v>
      </c>
      <c r="B117" s="62"/>
      <c r="C117" s="61" t="s">
        <v>857</v>
      </c>
      <c r="D117" s="63" t="s">
        <v>858</v>
      </c>
      <c r="E117" s="61"/>
      <c r="F117" s="61" t="s">
        <v>172</v>
      </c>
      <c r="G117" s="61" t="s">
        <v>142</v>
      </c>
      <c r="H117" s="61" t="s">
        <v>8</v>
      </c>
      <c r="I117" s="69"/>
      <c r="J117" s="61"/>
      <c r="K117" s="61"/>
      <c r="L117" s="61"/>
      <c r="M117" s="61" t="s">
        <v>230</v>
      </c>
      <c r="P117" s="70"/>
      <c r="S117" s="61">
        <f t="shared" si="11"/>
        <v>33</v>
      </c>
      <c r="T117" s="62"/>
      <c r="U117" s="61" t="s">
        <v>857</v>
      </c>
      <c r="V117" s="63" t="s">
        <v>858</v>
      </c>
      <c r="W117" s="61"/>
      <c r="X117" s="61" t="s">
        <v>172</v>
      </c>
      <c r="Y117" s="61" t="s">
        <v>142</v>
      </c>
      <c r="Z117" s="61" t="s">
        <v>8</v>
      </c>
      <c r="AA117" s="69"/>
      <c r="AB117" s="61"/>
      <c r="AC117" s="61"/>
      <c r="AD117" s="61"/>
      <c r="AE117" s="61" t="s">
        <v>230</v>
      </c>
    </row>
    <row r="118" s="2" customFormat="1" ht="45" spans="1:31">
      <c r="A118" s="31">
        <f t="shared" si="6"/>
        <v>35</v>
      </c>
      <c r="B118" s="59"/>
      <c r="C118" s="31" t="s">
        <v>859</v>
      </c>
      <c r="D118" s="87" t="s">
        <v>860</v>
      </c>
      <c r="E118" s="226" t="s">
        <v>861</v>
      </c>
      <c r="F118" s="31" t="s">
        <v>172</v>
      </c>
      <c r="G118" s="31" t="s">
        <v>173</v>
      </c>
      <c r="H118" s="31" t="s">
        <v>8</v>
      </c>
      <c r="I118" s="43"/>
      <c r="J118" s="31"/>
      <c r="K118" s="31"/>
      <c r="L118" s="31"/>
      <c r="M118" s="31"/>
      <c r="P118" s="70"/>
      <c r="S118" s="31">
        <f t="shared" si="11"/>
        <v>34</v>
      </c>
      <c r="T118" s="59"/>
      <c r="U118" s="31" t="s">
        <v>859</v>
      </c>
      <c r="V118" s="87" t="s">
        <v>860</v>
      </c>
      <c r="W118" s="31" t="s">
        <v>862</v>
      </c>
      <c r="X118" s="31" t="s">
        <v>172</v>
      </c>
      <c r="Y118" s="31" t="s">
        <v>142</v>
      </c>
      <c r="Z118" s="31" t="s">
        <v>8</v>
      </c>
      <c r="AA118" s="43"/>
      <c r="AB118" s="31"/>
      <c r="AC118" s="31"/>
      <c r="AD118" s="31"/>
      <c r="AE118" s="31"/>
    </row>
    <row r="119" s="2" customFormat="1" ht="45" spans="1:32">
      <c r="A119" s="110">
        <f t="shared" si="6"/>
        <v>36</v>
      </c>
      <c r="B119" s="111"/>
      <c r="C119" s="110" t="s">
        <v>863</v>
      </c>
      <c r="D119" s="112" t="s">
        <v>864</v>
      </c>
      <c r="E119" s="110" t="s">
        <v>865</v>
      </c>
      <c r="F119" s="110" t="s">
        <v>153</v>
      </c>
      <c r="G119" s="110" t="s">
        <v>142</v>
      </c>
      <c r="H119" s="110" t="s">
        <v>8</v>
      </c>
      <c r="I119" s="117"/>
      <c r="J119" s="110"/>
      <c r="K119" s="110"/>
      <c r="L119" s="110"/>
      <c r="M119" s="110" t="s">
        <v>866</v>
      </c>
      <c r="N119" s="3" t="s">
        <v>867</v>
      </c>
      <c r="P119" s="70"/>
      <c r="S119" s="110">
        <f t="shared" si="11"/>
        <v>35</v>
      </c>
      <c r="T119" s="111"/>
      <c r="U119" s="110" t="s">
        <v>863</v>
      </c>
      <c r="V119" s="112" t="s">
        <v>864</v>
      </c>
      <c r="W119" s="110" t="s">
        <v>868</v>
      </c>
      <c r="X119" s="110" t="s">
        <v>153</v>
      </c>
      <c r="Y119" s="110" t="s">
        <v>142</v>
      </c>
      <c r="Z119" s="110" t="s">
        <v>8</v>
      </c>
      <c r="AA119" s="117"/>
      <c r="AB119" s="110"/>
      <c r="AC119" s="110"/>
      <c r="AD119" s="110"/>
      <c r="AE119" s="110" t="s">
        <v>869</v>
      </c>
      <c r="AF119" s="3" t="s">
        <v>870</v>
      </c>
    </row>
    <row r="120" s="2" customFormat="1" ht="90" spans="1:32">
      <c r="A120" s="110">
        <f t="shared" si="6"/>
        <v>37</v>
      </c>
      <c r="B120" s="111"/>
      <c r="C120" s="110" t="s">
        <v>871</v>
      </c>
      <c r="D120" s="112" t="s">
        <v>872</v>
      </c>
      <c r="E120" s="110" t="s">
        <v>873</v>
      </c>
      <c r="F120" s="110" t="s">
        <v>627</v>
      </c>
      <c r="G120" s="110" t="s">
        <v>173</v>
      </c>
      <c r="H120" s="110" t="s">
        <v>8</v>
      </c>
      <c r="I120" s="117"/>
      <c r="J120" s="110"/>
      <c r="K120" s="110"/>
      <c r="L120" s="110"/>
      <c r="M120" s="110"/>
      <c r="N120" s="3" t="s">
        <v>867</v>
      </c>
      <c r="P120" s="70"/>
      <c r="S120" s="110">
        <f t="shared" si="11"/>
        <v>36</v>
      </c>
      <c r="T120" s="111"/>
      <c r="U120" s="110" t="s">
        <v>871</v>
      </c>
      <c r="V120" s="112" t="s">
        <v>872</v>
      </c>
      <c r="W120" s="110" t="s">
        <v>874</v>
      </c>
      <c r="X120" s="110" t="s">
        <v>627</v>
      </c>
      <c r="Y120" s="110" t="s">
        <v>142</v>
      </c>
      <c r="Z120" s="110" t="s">
        <v>8</v>
      </c>
      <c r="AA120" s="117"/>
      <c r="AB120" s="110"/>
      <c r="AC120" s="110"/>
      <c r="AD120" s="110"/>
      <c r="AE120" s="110"/>
      <c r="AF120" s="3" t="s">
        <v>870</v>
      </c>
    </row>
    <row r="121" s="2" customFormat="1" spans="1:32">
      <c r="A121" s="110">
        <f t="shared" si="6"/>
        <v>38</v>
      </c>
      <c r="B121" s="111"/>
      <c r="C121" s="110" t="s">
        <v>875</v>
      </c>
      <c r="D121" s="112" t="s">
        <v>876</v>
      </c>
      <c r="E121" s="110" t="s">
        <v>877</v>
      </c>
      <c r="F121" s="110" t="s">
        <v>627</v>
      </c>
      <c r="G121" s="110" t="s">
        <v>628</v>
      </c>
      <c r="H121" s="110" t="s">
        <v>8</v>
      </c>
      <c r="I121" s="117"/>
      <c r="J121" s="110"/>
      <c r="K121" s="110"/>
      <c r="L121" s="110"/>
      <c r="M121" s="110"/>
      <c r="N121" s="3" t="s">
        <v>867</v>
      </c>
      <c r="P121" s="70"/>
      <c r="S121" s="110">
        <f t="shared" si="11"/>
        <v>37</v>
      </c>
      <c r="T121" s="111"/>
      <c r="U121" s="110" t="s">
        <v>875</v>
      </c>
      <c r="V121" s="112" t="s">
        <v>876</v>
      </c>
      <c r="W121" s="110" t="s">
        <v>877</v>
      </c>
      <c r="X121" s="110" t="s">
        <v>627</v>
      </c>
      <c r="Y121" s="110" t="s">
        <v>628</v>
      </c>
      <c r="Z121" s="110" t="s">
        <v>8</v>
      </c>
      <c r="AA121" s="117"/>
      <c r="AB121" s="110"/>
      <c r="AC121" s="110"/>
      <c r="AD121" s="110"/>
      <c r="AE121" s="110"/>
      <c r="AF121" s="3" t="s">
        <v>870</v>
      </c>
    </row>
    <row r="122" s="2" customFormat="1" spans="1:32">
      <c r="A122" s="110">
        <f t="shared" si="6"/>
        <v>39</v>
      </c>
      <c r="B122" s="111"/>
      <c r="C122" s="110" t="s">
        <v>878</v>
      </c>
      <c r="D122" s="112" t="s">
        <v>879</v>
      </c>
      <c r="E122" s="110" t="s">
        <v>880</v>
      </c>
      <c r="F122" s="110" t="s">
        <v>141</v>
      </c>
      <c r="G122" s="110" t="s">
        <v>142</v>
      </c>
      <c r="H122" s="110">
        <v>32</v>
      </c>
      <c r="I122" s="117"/>
      <c r="J122" s="110"/>
      <c r="K122" s="110"/>
      <c r="L122" s="110"/>
      <c r="M122" s="110"/>
      <c r="N122" s="3" t="s">
        <v>867</v>
      </c>
      <c r="P122" s="70"/>
      <c r="S122" s="110">
        <f t="shared" si="11"/>
        <v>38</v>
      </c>
      <c r="T122" s="111"/>
      <c r="U122" s="110" t="s">
        <v>878</v>
      </c>
      <c r="V122" s="112" t="s">
        <v>879</v>
      </c>
      <c r="W122" s="110" t="s">
        <v>880</v>
      </c>
      <c r="X122" s="110" t="s">
        <v>141</v>
      </c>
      <c r="Y122" s="110" t="s">
        <v>142</v>
      </c>
      <c r="Z122" s="110">
        <v>32</v>
      </c>
      <c r="AA122" s="117"/>
      <c r="AB122" s="110"/>
      <c r="AC122" s="110"/>
      <c r="AD122" s="110"/>
      <c r="AE122" s="110"/>
      <c r="AF122" s="3" t="s">
        <v>870</v>
      </c>
    </row>
    <row r="123" s="2" customFormat="1" ht="45" spans="1:32">
      <c r="A123" s="110">
        <f t="shared" si="6"/>
        <v>40</v>
      </c>
      <c r="B123" s="111"/>
      <c r="C123" s="110" t="s">
        <v>881</v>
      </c>
      <c r="D123" s="112" t="s">
        <v>882</v>
      </c>
      <c r="E123" s="110"/>
      <c r="F123" s="110" t="s">
        <v>172</v>
      </c>
      <c r="G123" s="110" t="s">
        <v>173</v>
      </c>
      <c r="H123" s="110" t="s">
        <v>8</v>
      </c>
      <c r="I123" s="117"/>
      <c r="J123" s="110"/>
      <c r="K123" s="110"/>
      <c r="L123" s="110"/>
      <c r="M123" s="110" t="s">
        <v>883</v>
      </c>
      <c r="N123" s="3" t="s">
        <v>867</v>
      </c>
      <c r="P123" s="70"/>
      <c r="S123" s="110">
        <f t="shared" si="11"/>
        <v>39</v>
      </c>
      <c r="T123" s="111"/>
      <c r="U123" s="110" t="s">
        <v>881</v>
      </c>
      <c r="V123" s="112" t="s">
        <v>882</v>
      </c>
      <c r="W123" s="110"/>
      <c r="X123" s="110" t="s">
        <v>172</v>
      </c>
      <c r="Y123" s="110" t="s">
        <v>173</v>
      </c>
      <c r="Z123" s="110" t="s">
        <v>8</v>
      </c>
      <c r="AA123" s="117"/>
      <c r="AB123" s="110"/>
      <c r="AC123" s="110"/>
      <c r="AD123" s="110"/>
      <c r="AE123" s="110" t="s">
        <v>884</v>
      </c>
      <c r="AF123" s="3" t="s">
        <v>870</v>
      </c>
    </row>
    <row r="124" s="2" customFormat="1" spans="1:31">
      <c r="A124" s="61">
        <f t="shared" si="6"/>
        <v>41</v>
      </c>
      <c r="B124" s="62"/>
      <c r="C124" s="61" t="s">
        <v>885</v>
      </c>
      <c r="D124" s="63" t="s">
        <v>886</v>
      </c>
      <c r="E124" s="61"/>
      <c r="F124" s="61" t="s">
        <v>172</v>
      </c>
      <c r="G124" s="61" t="s">
        <v>142</v>
      </c>
      <c r="H124" s="61" t="s">
        <v>8</v>
      </c>
      <c r="I124" s="69"/>
      <c r="J124" s="61"/>
      <c r="K124" s="61"/>
      <c r="L124" s="61"/>
      <c r="M124" s="61" t="s">
        <v>230</v>
      </c>
      <c r="P124" s="70"/>
      <c r="S124" s="61">
        <f t="shared" si="11"/>
        <v>40</v>
      </c>
      <c r="T124" s="62"/>
      <c r="U124" s="61" t="s">
        <v>885</v>
      </c>
      <c r="V124" s="63" t="s">
        <v>886</v>
      </c>
      <c r="W124" s="61"/>
      <c r="X124" s="61" t="s">
        <v>172</v>
      </c>
      <c r="Y124" s="61" t="s">
        <v>142</v>
      </c>
      <c r="Z124" s="61" t="s">
        <v>8</v>
      </c>
      <c r="AA124" s="69"/>
      <c r="AB124" s="61"/>
      <c r="AC124" s="61"/>
      <c r="AD124" s="61"/>
      <c r="AE124" s="61" t="s">
        <v>230</v>
      </c>
    </row>
    <row r="125" s="2" customFormat="1" spans="1:31">
      <c r="A125" s="61">
        <f t="shared" si="6"/>
        <v>42</v>
      </c>
      <c r="B125" s="62"/>
      <c r="C125" s="61" t="s">
        <v>887</v>
      </c>
      <c r="D125" s="63" t="s">
        <v>888</v>
      </c>
      <c r="E125" s="61"/>
      <c r="F125" s="61" t="s">
        <v>141</v>
      </c>
      <c r="G125" s="61" t="s">
        <v>142</v>
      </c>
      <c r="H125" s="61">
        <v>11</v>
      </c>
      <c r="I125" s="69"/>
      <c r="J125" s="61"/>
      <c r="K125" s="63"/>
      <c r="L125" s="61"/>
      <c r="M125" s="61" t="s">
        <v>230</v>
      </c>
      <c r="P125" s="70"/>
      <c r="S125" s="61">
        <f t="shared" si="11"/>
        <v>41</v>
      </c>
      <c r="T125" s="62"/>
      <c r="U125" s="61" t="s">
        <v>887</v>
      </c>
      <c r="V125" s="63" t="s">
        <v>888</v>
      </c>
      <c r="W125" s="61"/>
      <c r="X125" s="61" t="s">
        <v>141</v>
      </c>
      <c r="Y125" s="61" t="s">
        <v>142</v>
      </c>
      <c r="Z125" s="61">
        <v>11</v>
      </c>
      <c r="AA125" s="69"/>
      <c r="AB125" s="61"/>
      <c r="AC125" s="63"/>
      <c r="AD125" s="61"/>
      <c r="AE125" s="61" t="s">
        <v>230</v>
      </c>
    </row>
    <row r="126" s="2" customFormat="1" spans="1:31">
      <c r="A126" s="61">
        <f t="shared" si="6"/>
        <v>43</v>
      </c>
      <c r="B126" s="62"/>
      <c r="C126" s="61" t="s">
        <v>889</v>
      </c>
      <c r="D126" s="63" t="s">
        <v>890</v>
      </c>
      <c r="E126" s="61"/>
      <c r="F126" s="61" t="s">
        <v>141</v>
      </c>
      <c r="G126" s="61" t="s">
        <v>142</v>
      </c>
      <c r="H126" s="61">
        <v>64</v>
      </c>
      <c r="I126" s="69"/>
      <c r="J126" s="61"/>
      <c r="K126" s="63"/>
      <c r="L126" s="61"/>
      <c r="M126" s="61" t="s">
        <v>230</v>
      </c>
      <c r="P126" s="70"/>
      <c r="S126" s="61">
        <f t="shared" si="11"/>
        <v>42</v>
      </c>
      <c r="T126" s="62"/>
      <c r="U126" s="61" t="s">
        <v>889</v>
      </c>
      <c r="V126" s="63" t="s">
        <v>890</v>
      </c>
      <c r="W126" s="61"/>
      <c r="X126" s="61" t="s">
        <v>141</v>
      </c>
      <c r="Y126" s="61" t="s">
        <v>142</v>
      </c>
      <c r="Z126" s="61">
        <v>64</v>
      </c>
      <c r="AA126" s="69"/>
      <c r="AB126" s="61"/>
      <c r="AC126" s="63"/>
      <c r="AD126" s="61"/>
      <c r="AE126" s="61" t="s">
        <v>230</v>
      </c>
    </row>
    <row r="127" s="2" customFormat="1" spans="1:31">
      <c r="A127" s="61">
        <f t="shared" si="6"/>
        <v>44</v>
      </c>
      <c r="B127" s="62"/>
      <c r="C127" s="61" t="s">
        <v>891</v>
      </c>
      <c r="D127" s="63" t="s">
        <v>892</v>
      </c>
      <c r="E127" s="61"/>
      <c r="F127" s="61" t="s">
        <v>141</v>
      </c>
      <c r="G127" s="61" t="s">
        <v>142</v>
      </c>
      <c r="H127" s="61">
        <v>11</v>
      </c>
      <c r="I127" s="69"/>
      <c r="J127" s="61"/>
      <c r="K127" s="63"/>
      <c r="L127" s="61"/>
      <c r="M127" s="61" t="s">
        <v>230</v>
      </c>
      <c r="P127" s="70"/>
      <c r="S127" s="61">
        <f t="shared" si="11"/>
        <v>43</v>
      </c>
      <c r="T127" s="62"/>
      <c r="U127" s="61" t="s">
        <v>891</v>
      </c>
      <c r="V127" s="63" t="s">
        <v>892</v>
      </c>
      <c r="W127" s="61"/>
      <c r="X127" s="61" t="s">
        <v>141</v>
      </c>
      <c r="Y127" s="61" t="s">
        <v>142</v>
      </c>
      <c r="Z127" s="61">
        <v>11</v>
      </c>
      <c r="AA127" s="69"/>
      <c r="AB127" s="61"/>
      <c r="AC127" s="63"/>
      <c r="AD127" s="61"/>
      <c r="AE127" s="61" t="s">
        <v>230</v>
      </c>
    </row>
    <row r="128" s="2" customFormat="1" spans="1:31">
      <c r="A128" s="61">
        <f t="shared" si="6"/>
        <v>45</v>
      </c>
      <c r="B128" s="62"/>
      <c r="C128" s="61" t="s">
        <v>893</v>
      </c>
      <c r="D128" s="63" t="s">
        <v>894</v>
      </c>
      <c r="E128" s="61"/>
      <c r="F128" s="61" t="s">
        <v>141</v>
      </c>
      <c r="G128" s="61" t="s">
        <v>142</v>
      </c>
      <c r="H128" s="61">
        <v>64</v>
      </c>
      <c r="I128" s="69"/>
      <c r="J128" s="61"/>
      <c r="K128" s="63"/>
      <c r="L128" s="61"/>
      <c r="M128" s="61" t="s">
        <v>230</v>
      </c>
      <c r="P128" s="70"/>
      <c r="S128" s="61">
        <f t="shared" si="11"/>
        <v>44</v>
      </c>
      <c r="T128" s="62"/>
      <c r="U128" s="61" t="s">
        <v>893</v>
      </c>
      <c r="V128" s="63" t="s">
        <v>894</v>
      </c>
      <c r="W128" s="61"/>
      <c r="X128" s="61" t="s">
        <v>141</v>
      </c>
      <c r="Y128" s="61" t="s">
        <v>142</v>
      </c>
      <c r="Z128" s="61">
        <v>64</v>
      </c>
      <c r="AA128" s="69"/>
      <c r="AB128" s="61"/>
      <c r="AC128" s="63"/>
      <c r="AD128" s="61"/>
      <c r="AE128" s="61" t="s">
        <v>230</v>
      </c>
    </row>
    <row r="129" s="2" customFormat="1" spans="1:31">
      <c r="A129" s="61">
        <f t="shared" si="6"/>
        <v>46</v>
      </c>
      <c r="B129" s="62"/>
      <c r="C129" s="61" t="s">
        <v>895</v>
      </c>
      <c r="D129" s="63" t="s">
        <v>896</v>
      </c>
      <c r="E129" s="61"/>
      <c r="F129" s="61" t="s">
        <v>172</v>
      </c>
      <c r="G129" s="61" t="s">
        <v>142</v>
      </c>
      <c r="H129" s="61" t="s">
        <v>8</v>
      </c>
      <c r="I129" s="69"/>
      <c r="J129" s="61"/>
      <c r="K129" s="63"/>
      <c r="L129" s="61"/>
      <c r="M129" s="61" t="s">
        <v>230</v>
      </c>
      <c r="P129" s="70"/>
      <c r="S129" s="61">
        <f t="shared" si="11"/>
        <v>45</v>
      </c>
      <c r="T129" s="62"/>
      <c r="U129" s="61" t="s">
        <v>895</v>
      </c>
      <c r="V129" s="63" t="s">
        <v>896</v>
      </c>
      <c r="W129" s="61"/>
      <c r="X129" s="61" t="s">
        <v>172</v>
      </c>
      <c r="Y129" s="61" t="s">
        <v>142</v>
      </c>
      <c r="Z129" s="61" t="s">
        <v>8</v>
      </c>
      <c r="AA129" s="69"/>
      <c r="AB129" s="61"/>
      <c r="AC129" s="63"/>
      <c r="AD129" s="61"/>
      <c r="AE129" s="61" t="s">
        <v>230</v>
      </c>
    </row>
    <row r="130" s="2" customFormat="1" spans="1:31">
      <c r="A130" s="61">
        <f t="shared" si="6"/>
        <v>47</v>
      </c>
      <c r="B130" s="62"/>
      <c r="C130" s="61" t="s">
        <v>897</v>
      </c>
      <c r="D130" s="63" t="s">
        <v>898</v>
      </c>
      <c r="E130" s="61"/>
      <c r="F130" s="61" t="s">
        <v>267</v>
      </c>
      <c r="G130" s="61" t="s">
        <v>142</v>
      </c>
      <c r="H130" s="61" t="s">
        <v>8</v>
      </c>
      <c r="I130" s="69"/>
      <c r="J130" s="61"/>
      <c r="K130" s="63"/>
      <c r="L130" s="61"/>
      <c r="M130" s="61" t="s">
        <v>230</v>
      </c>
      <c r="P130" s="70"/>
      <c r="S130" s="61">
        <f t="shared" si="11"/>
        <v>46</v>
      </c>
      <c r="T130" s="62"/>
      <c r="U130" s="61" t="s">
        <v>897</v>
      </c>
      <c r="V130" s="63" t="s">
        <v>898</v>
      </c>
      <c r="W130" s="61"/>
      <c r="X130" s="61" t="s">
        <v>267</v>
      </c>
      <c r="Y130" s="61" t="s">
        <v>142</v>
      </c>
      <c r="Z130" s="61" t="s">
        <v>8</v>
      </c>
      <c r="AA130" s="69"/>
      <c r="AB130" s="61"/>
      <c r="AC130" s="63"/>
      <c r="AD130" s="61"/>
      <c r="AE130" s="61" t="s">
        <v>230</v>
      </c>
    </row>
    <row r="131" s="2" customFormat="1" spans="1:31">
      <c r="A131" s="61">
        <f t="shared" si="6"/>
        <v>48</v>
      </c>
      <c r="B131" s="62"/>
      <c r="C131" s="61" t="s">
        <v>899</v>
      </c>
      <c r="D131" s="63" t="s">
        <v>900</v>
      </c>
      <c r="E131" s="61"/>
      <c r="F131" s="61" t="s">
        <v>172</v>
      </c>
      <c r="G131" s="61" t="s">
        <v>142</v>
      </c>
      <c r="H131" s="61" t="s">
        <v>8</v>
      </c>
      <c r="I131" s="69"/>
      <c r="J131" s="61"/>
      <c r="K131" s="63"/>
      <c r="L131" s="61"/>
      <c r="M131" s="61" t="s">
        <v>230</v>
      </c>
      <c r="P131" s="70"/>
      <c r="S131" s="61">
        <f t="shared" si="11"/>
        <v>47</v>
      </c>
      <c r="T131" s="62"/>
      <c r="U131" s="61" t="s">
        <v>899</v>
      </c>
      <c r="V131" s="63" t="s">
        <v>900</v>
      </c>
      <c r="W131" s="61"/>
      <c r="X131" s="61" t="s">
        <v>172</v>
      </c>
      <c r="Y131" s="61" t="s">
        <v>142</v>
      </c>
      <c r="Z131" s="61" t="s">
        <v>8</v>
      </c>
      <c r="AA131" s="69"/>
      <c r="AB131" s="61"/>
      <c r="AC131" s="63"/>
      <c r="AD131" s="61"/>
      <c r="AE131" s="61" t="s">
        <v>230</v>
      </c>
    </row>
    <row r="132" s="2" customFormat="1" spans="1:31">
      <c r="A132" s="61">
        <f t="shared" si="6"/>
        <v>49</v>
      </c>
      <c r="B132" s="62"/>
      <c r="C132" s="61" t="s">
        <v>901</v>
      </c>
      <c r="D132" s="63" t="s">
        <v>902</v>
      </c>
      <c r="E132" s="61"/>
      <c r="F132" s="61" t="s">
        <v>627</v>
      </c>
      <c r="G132" s="61" t="s">
        <v>142</v>
      </c>
      <c r="H132" s="61" t="s">
        <v>8</v>
      </c>
      <c r="I132" s="69"/>
      <c r="J132" s="61"/>
      <c r="K132" s="63"/>
      <c r="L132" s="61"/>
      <c r="M132" s="61" t="s">
        <v>230</v>
      </c>
      <c r="P132" s="70"/>
      <c r="S132" s="61">
        <f t="shared" si="11"/>
        <v>48</v>
      </c>
      <c r="T132" s="62"/>
      <c r="U132" s="61" t="s">
        <v>901</v>
      </c>
      <c r="V132" s="63" t="s">
        <v>902</v>
      </c>
      <c r="W132" s="61"/>
      <c r="X132" s="61" t="s">
        <v>627</v>
      </c>
      <c r="Y132" s="61" t="s">
        <v>142</v>
      </c>
      <c r="Z132" s="61" t="s">
        <v>8</v>
      </c>
      <c r="AA132" s="69"/>
      <c r="AB132" s="61"/>
      <c r="AC132" s="63"/>
      <c r="AD132" s="61"/>
      <c r="AE132" s="61" t="s">
        <v>230</v>
      </c>
    </row>
    <row r="133" s="2" customFormat="1" spans="1:31">
      <c r="A133" s="61">
        <f t="shared" si="6"/>
        <v>50</v>
      </c>
      <c r="B133" s="62"/>
      <c r="C133" s="61" t="s">
        <v>903</v>
      </c>
      <c r="D133" s="63" t="s">
        <v>904</v>
      </c>
      <c r="E133" s="61"/>
      <c r="F133" s="61" t="s">
        <v>141</v>
      </c>
      <c r="G133" s="61" t="s">
        <v>142</v>
      </c>
      <c r="H133" s="61">
        <v>7</v>
      </c>
      <c r="I133" s="69"/>
      <c r="J133" s="61"/>
      <c r="K133" s="63"/>
      <c r="L133" s="61"/>
      <c r="M133" s="61" t="s">
        <v>230</v>
      </c>
      <c r="P133" s="70"/>
      <c r="S133" s="61">
        <f t="shared" si="11"/>
        <v>49</v>
      </c>
      <c r="T133" s="62"/>
      <c r="U133" s="61" t="s">
        <v>903</v>
      </c>
      <c r="V133" s="63" t="s">
        <v>904</v>
      </c>
      <c r="W133" s="61"/>
      <c r="X133" s="61" t="s">
        <v>141</v>
      </c>
      <c r="Y133" s="61" t="s">
        <v>142</v>
      </c>
      <c r="Z133" s="61">
        <v>7</v>
      </c>
      <c r="AA133" s="69"/>
      <c r="AB133" s="61"/>
      <c r="AC133" s="63"/>
      <c r="AD133" s="61"/>
      <c r="AE133" s="61" t="s">
        <v>230</v>
      </c>
    </row>
    <row r="134" s="2" customFormat="1" spans="1:31">
      <c r="A134" s="61">
        <f t="shared" si="6"/>
        <v>51</v>
      </c>
      <c r="B134" s="62"/>
      <c r="C134" s="61" t="s">
        <v>905</v>
      </c>
      <c r="D134" s="63" t="s">
        <v>906</v>
      </c>
      <c r="E134" s="61"/>
      <c r="F134" s="61" t="s">
        <v>141</v>
      </c>
      <c r="G134" s="61" t="s">
        <v>142</v>
      </c>
      <c r="H134" s="61">
        <v>20</v>
      </c>
      <c r="I134" s="69"/>
      <c r="J134" s="61"/>
      <c r="K134" s="63"/>
      <c r="L134" s="61" t="s">
        <v>415</v>
      </c>
      <c r="M134" s="61" t="s">
        <v>230</v>
      </c>
      <c r="P134" s="70"/>
      <c r="S134" s="61">
        <f t="shared" si="11"/>
        <v>50</v>
      </c>
      <c r="T134" s="62"/>
      <c r="U134" s="61" t="s">
        <v>905</v>
      </c>
      <c r="V134" s="63" t="s">
        <v>906</v>
      </c>
      <c r="W134" s="61"/>
      <c r="X134" s="61" t="s">
        <v>141</v>
      </c>
      <c r="Y134" s="61" t="s">
        <v>142</v>
      </c>
      <c r="Z134" s="61">
        <v>20</v>
      </c>
      <c r="AA134" s="69"/>
      <c r="AB134" s="61"/>
      <c r="AC134" s="63"/>
      <c r="AD134" s="61" t="s">
        <v>415</v>
      </c>
      <c r="AE134" s="61" t="s">
        <v>230</v>
      </c>
    </row>
    <row r="135" s="2" customFormat="1" spans="1:31">
      <c r="A135" s="61">
        <f t="shared" si="6"/>
        <v>52</v>
      </c>
      <c r="B135" s="62"/>
      <c r="C135" s="61" t="s">
        <v>907</v>
      </c>
      <c r="D135" s="63" t="s">
        <v>908</v>
      </c>
      <c r="E135" s="61"/>
      <c r="F135" s="61" t="s">
        <v>627</v>
      </c>
      <c r="G135" s="61" t="s">
        <v>142</v>
      </c>
      <c r="H135" s="61" t="s">
        <v>8</v>
      </c>
      <c r="I135" s="69"/>
      <c r="J135" s="61"/>
      <c r="K135" s="63"/>
      <c r="L135" s="61"/>
      <c r="M135" s="61" t="s">
        <v>230</v>
      </c>
      <c r="P135" s="70"/>
      <c r="S135" s="61">
        <f t="shared" si="11"/>
        <v>51</v>
      </c>
      <c r="T135" s="62"/>
      <c r="U135" s="61" t="s">
        <v>907</v>
      </c>
      <c r="V135" s="63" t="s">
        <v>908</v>
      </c>
      <c r="W135" s="61"/>
      <c r="X135" s="61" t="s">
        <v>627</v>
      </c>
      <c r="Y135" s="61" t="s">
        <v>142</v>
      </c>
      <c r="Z135" s="61" t="s">
        <v>8</v>
      </c>
      <c r="AA135" s="69"/>
      <c r="AB135" s="61"/>
      <c r="AC135" s="63"/>
      <c r="AD135" s="61"/>
      <c r="AE135" s="61" t="s">
        <v>230</v>
      </c>
    </row>
    <row r="136" s="2" customFormat="1" spans="1:31">
      <c r="A136" s="61">
        <f t="shared" si="6"/>
        <v>53</v>
      </c>
      <c r="B136" s="62"/>
      <c r="C136" s="61" t="s">
        <v>909</v>
      </c>
      <c r="D136" s="63" t="s">
        <v>910</v>
      </c>
      <c r="E136" s="61"/>
      <c r="F136" s="61" t="s">
        <v>172</v>
      </c>
      <c r="G136" s="61" t="s">
        <v>142</v>
      </c>
      <c r="H136" s="61" t="s">
        <v>8</v>
      </c>
      <c r="I136" s="69"/>
      <c r="J136" s="61"/>
      <c r="K136" s="63"/>
      <c r="L136" s="61"/>
      <c r="M136" s="61" t="s">
        <v>230</v>
      </c>
      <c r="P136" s="70"/>
      <c r="S136" s="61">
        <f t="shared" si="11"/>
        <v>52</v>
      </c>
      <c r="T136" s="62"/>
      <c r="U136" s="61" t="s">
        <v>909</v>
      </c>
      <c r="V136" s="63" t="s">
        <v>910</v>
      </c>
      <c r="W136" s="61"/>
      <c r="X136" s="61" t="s">
        <v>172</v>
      </c>
      <c r="Y136" s="61" t="s">
        <v>142</v>
      </c>
      <c r="Z136" s="61" t="s">
        <v>8</v>
      </c>
      <c r="AA136" s="69"/>
      <c r="AB136" s="61"/>
      <c r="AC136" s="63"/>
      <c r="AD136" s="61"/>
      <c r="AE136" s="61" t="s">
        <v>230</v>
      </c>
    </row>
    <row r="137" s="2" customFormat="1" spans="1:31">
      <c r="A137" s="61">
        <f t="shared" si="6"/>
        <v>54</v>
      </c>
      <c r="B137" s="62"/>
      <c r="C137" s="61" t="s">
        <v>911</v>
      </c>
      <c r="D137" s="63" t="s">
        <v>912</v>
      </c>
      <c r="E137" s="61"/>
      <c r="F137" s="61" t="s">
        <v>141</v>
      </c>
      <c r="G137" s="61" t="s">
        <v>142</v>
      </c>
      <c r="H137" s="61">
        <v>50</v>
      </c>
      <c r="I137" s="69"/>
      <c r="J137" s="61"/>
      <c r="K137" s="63"/>
      <c r="L137" s="61"/>
      <c r="M137" s="61" t="s">
        <v>230</v>
      </c>
      <c r="P137" s="70"/>
      <c r="S137" s="61">
        <f t="shared" si="11"/>
        <v>53</v>
      </c>
      <c r="T137" s="62"/>
      <c r="U137" s="61" t="s">
        <v>911</v>
      </c>
      <c r="V137" s="63" t="s">
        <v>912</v>
      </c>
      <c r="W137" s="61"/>
      <c r="X137" s="61" t="s">
        <v>141</v>
      </c>
      <c r="Y137" s="61" t="s">
        <v>142</v>
      </c>
      <c r="Z137" s="61">
        <v>50</v>
      </c>
      <c r="AA137" s="69"/>
      <c r="AB137" s="61"/>
      <c r="AC137" s="63"/>
      <c r="AD137" s="61"/>
      <c r="AE137" s="61" t="s">
        <v>230</v>
      </c>
    </row>
    <row r="138" s="2" customFormat="1" ht="78.75" spans="1:31">
      <c r="A138" s="31">
        <f t="shared" si="6"/>
        <v>55</v>
      </c>
      <c r="B138" s="59"/>
      <c r="C138" s="31" t="s">
        <v>913</v>
      </c>
      <c r="D138" s="87" t="s">
        <v>914</v>
      </c>
      <c r="E138" s="31" t="s">
        <v>915</v>
      </c>
      <c r="F138" s="31" t="s">
        <v>172</v>
      </c>
      <c r="G138" s="31" t="s">
        <v>142</v>
      </c>
      <c r="H138" s="31" t="s">
        <v>8</v>
      </c>
      <c r="I138" s="43"/>
      <c r="J138" s="31"/>
      <c r="K138" s="87"/>
      <c r="L138" s="31"/>
      <c r="M138" s="31"/>
      <c r="P138" s="70"/>
      <c r="S138" s="31">
        <f t="shared" si="11"/>
        <v>54</v>
      </c>
      <c r="T138" s="59"/>
      <c r="U138" s="31" t="s">
        <v>913</v>
      </c>
      <c r="V138" s="87" t="s">
        <v>914</v>
      </c>
      <c r="W138" s="31" t="s">
        <v>916</v>
      </c>
      <c r="X138" s="31" t="s">
        <v>172</v>
      </c>
      <c r="Y138" s="31" t="s">
        <v>142</v>
      </c>
      <c r="Z138" s="31" t="s">
        <v>8</v>
      </c>
      <c r="AA138" s="43"/>
      <c r="AB138" s="31"/>
      <c r="AC138" s="87"/>
      <c r="AD138" s="31"/>
      <c r="AE138" s="31"/>
    </row>
    <row r="139" s="2" customFormat="1" spans="1:31">
      <c r="A139" s="61">
        <f t="shared" si="6"/>
        <v>56</v>
      </c>
      <c r="B139" s="62"/>
      <c r="C139" s="61" t="s">
        <v>917</v>
      </c>
      <c r="D139" s="63" t="s">
        <v>918</v>
      </c>
      <c r="E139" s="61"/>
      <c r="F139" s="61" t="s">
        <v>141</v>
      </c>
      <c r="G139" s="61" t="s">
        <v>142</v>
      </c>
      <c r="H139" s="61">
        <v>50</v>
      </c>
      <c r="I139" s="69"/>
      <c r="J139" s="61"/>
      <c r="K139" s="63"/>
      <c r="L139" s="61"/>
      <c r="M139" s="61" t="s">
        <v>230</v>
      </c>
      <c r="P139" s="70"/>
      <c r="S139" s="61">
        <f t="shared" si="11"/>
        <v>55</v>
      </c>
      <c r="T139" s="62"/>
      <c r="U139" s="61" t="s">
        <v>917</v>
      </c>
      <c r="V139" s="63" t="s">
        <v>918</v>
      </c>
      <c r="W139" s="61"/>
      <c r="X139" s="61" t="s">
        <v>141</v>
      </c>
      <c r="Y139" s="61" t="s">
        <v>142</v>
      </c>
      <c r="Z139" s="61">
        <v>50</v>
      </c>
      <c r="AA139" s="69"/>
      <c r="AB139" s="61"/>
      <c r="AC139" s="63"/>
      <c r="AD139" s="61"/>
      <c r="AE139" s="61" t="s">
        <v>230</v>
      </c>
    </row>
    <row r="140" s="2" customFormat="1" ht="22.5" spans="1:31">
      <c r="A140" s="31">
        <f t="shared" si="6"/>
        <v>57</v>
      </c>
      <c r="B140" s="59"/>
      <c r="C140" s="31" t="s">
        <v>919</v>
      </c>
      <c r="D140" s="87" t="s">
        <v>920</v>
      </c>
      <c r="E140" s="31" t="s">
        <v>921</v>
      </c>
      <c r="F140" s="31" t="s">
        <v>172</v>
      </c>
      <c r="G140" s="31" t="s">
        <v>173</v>
      </c>
      <c r="H140" s="31" t="s">
        <v>8</v>
      </c>
      <c r="I140" s="43"/>
      <c r="J140" s="31"/>
      <c r="K140" s="87"/>
      <c r="L140" s="31"/>
      <c r="M140" s="31"/>
      <c r="P140" s="70"/>
      <c r="S140" s="31">
        <f t="shared" si="11"/>
        <v>56</v>
      </c>
      <c r="T140" s="59"/>
      <c r="U140" s="31" t="s">
        <v>919</v>
      </c>
      <c r="V140" s="87" t="s">
        <v>920</v>
      </c>
      <c r="W140" s="31" t="s">
        <v>922</v>
      </c>
      <c r="X140" s="31" t="s">
        <v>172</v>
      </c>
      <c r="Y140" s="31" t="s">
        <v>142</v>
      </c>
      <c r="Z140" s="31" t="s">
        <v>8</v>
      </c>
      <c r="AA140" s="43"/>
      <c r="AB140" s="31"/>
      <c r="AC140" s="87"/>
      <c r="AD140" s="31"/>
      <c r="AE140" s="31"/>
    </row>
    <row r="141" s="2" customFormat="1" spans="1:31">
      <c r="A141" s="61">
        <f t="shared" si="6"/>
        <v>58</v>
      </c>
      <c r="B141" s="62"/>
      <c r="C141" s="61" t="s">
        <v>923</v>
      </c>
      <c r="D141" s="63" t="s">
        <v>924</v>
      </c>
      <c r="E141" s="61"/>
      <c r="F141" s="61" t="s">
        <v>141</v>
      </c>
      <c r="G141" s="61" t="s">
        <v>142</v>
      </c>
      <c r="H141" s="61">
        <v>50</v>
      </c>
      <c r="I141" s="69"/>
      <c r="J141" s="61"/>
      <c r="K141" s="63"/>
      <c r="L141" s="61"/>
      <c r="M141" s="61" t="s">
        <v>230</v>
      </c>
      <c r="P141" s="70"/>
      <c r="S141" s="61">
        <f t="shared" si="11"/>
        <v>57</v>
      </c>
      <c r="T141" s="62"/>
      <c r="U141" s="61" t="s">
        <v>923</v>
      </c>
      <c r="V141" s="63" t="s">
        <v>924</v>
      </c>
      <c r="W141" s="61"/>
      <c r="X141" s="61" t="s">
        <v>141</v>
      </c>
      <c r="Y141" s="61" t="s">
        <v>142</v>
      </c>
      <c r="Z141" s="61">
        <v>50</v>
      </c>
      <c r="AA141" s="69"/>
      <c r="AB141" s="61"/>
      <c r="AC141" s="63"/>
      <c r="AD141" s="61"/>
      <c r="AE141" s="61" t="s">
        <v>230</v>
      </c>
    </row>
    <row r="142" s="2" customFormat="1" spans="1:31">
      <c r="A142" s="61">
        <f t="shared" si="6"/>
        <v>59</v>
      </c>
      <c r="B142" s="62"/>
      <c r="C142" s="61" t="s">
        <v>925</v>
      </c>
      <c r="D142" s="63" t="s">
        <v>926</v>
      </c>
      <c r="E142" s="61"/>
      <c r="F142" s="61" t="s">
        <v>172</v>
      </c>
      <c r="G142" s="61" t="s">
        <v>142</v>
      </c>
      <c r="H142" s="61" t="s">
        <v>8</v>
      </c>
      <c r="I142" s="69"/>
      <c r="J142" s="61"/>
      <c r="K142" s="63"/>
      <c r="L142" s="61"/>
      <c r="M142" s="61" t="s">
        <v>230</v>
      </c>
      <c r="P142" s="70"/>
      <c r="S142" s="61">
        <f t="shared" si="11"/>
        <v>58</v>
      </c>
      <c r="T142" s="62"/>
      <c r="U142" s="61" t="s">
        <v>925</v>
      </c>
      <c r="V142" s="63" t="s">
        <v>926</v>
      </c>
      <c r="W142" s="61"/>
      <c r="X142" s="61" t="s">
        <v>172</v>
      </c>
      <c r="Y142" s="61" t="s">
        <v>142</v>
      </c>
      <c r="Z142" s="61" t="s">
        <v>8</v>
      </c>
      <c r="AA142" s="69"/>
      <c r="AB142" s="61"/>
      <c r="AC142" s="63"/>
      <c r="AD142" s="61"/>
      <c r="AE142" s="61" t="s">
        <v>230</v>
      </c>
    </row>
    <row r="143" s="2" customFormat="1" spans="1:31">
      <c r="A143" s="61">
        <f t="shared" si="6"/>
        <v>60</v>
      </c>
      <c r="B143" s="62"/>
      <c r="C143" s="61" t="s">
        <v>927</v>
      </c>
      <c r="D143" s="63" t="s">
        <v>928</v>
      </c>
      <c r="E143" s="61"/>
      <c r="F143" s="61" t="s">
        <v>141</v>
      </c>
      <c r="G143" s="61" t="s">
        <v>142</v>
      </c>
      <c r="H143" s="61">
        <v>11</v>
      </c>
      <c r="I143" s="69"/>
      <c r="J143" s="61"/>
      <c r="K143" s="63"/>
      <c r="L143" s="61"/>
      <c r="M143" s="61" t="s">
        <v>230</v>
      </c>
      <c r="P143" s="70"/>
      <c r="S143" s="61">
        <f t="shared" si="11"/>
        <v>59</v>
      </c>
      <c r="T143" s="62"/>
      <c r="U143" s="61" t="s">
        <v>927</v>
      </c>
      <c r="V143" s="63" t="s">
        <v>928</v>
      </c>
      <c r="W143" s="61"/>
      <c r="X143" s="61" t="s">
        <v>141</v>
      </c>
      <c r="Y143" s="61" t="s">
        <v>142</v>
      </c>
      <c r="Z143" s="61">
        <v>11</v>
      </c>
      <c r="AA143" s="69"/>
      <c r="AB143" s="61"/>
      <c r="AC143" s="63"/>
      <c r="AD143" s="61"/>
      <c r="AE143" s="61" t="s">
        <v>230</v>
      </c>
    </row>
    <row r="144" s="2" customFormat="1" spans="1:31">
      <c r="A144" s="61">
        <f t="shared" si="6"/>
        <v>61</v>
      </c>
      <c r="B144" s="62"/>
      <c r="C144" s="61" t="s">
        <v>929</v>
      </c>
      <c r="D144" s="61" t="s">
        <v>930</v>
      </c>
      <c r="E144" s="61"/>
      <c r="F144" s="61" t="s">
        <v>141</v>
      </c>
      <c r="G144" s="61" t="s">
        <v>142</v>
      </c>
      <c r="H144" s="61">
        <v>1</v>
      </c>
      <c r="I144" s="69"/>
      <c r="J144" s="61"/>
      <c r="K144" s="63"/>
      <c r="L144" s="61"/>
      <c r="M144" s="61" t="s">
        <v>230</v>
      </c>
      <c r="P144" s="70"/>
      <c r="S144" s="61">
        <f t="shared" si="11"/>
        <v>60</v>
      </c>
      <c r="T144" s="62"/>
      <c r="U144" s="61" t="s">
        <v>929</v>
      </c>
      <c r="V144" s="61" t="s">
        <v>930</v>
      </c>
      <c r="W144" s="61"/>
      <c r="X144" s="61" t="s">
        <v>141</v>
      </c>
      <c r="Y144" s="61" t="s">
        <v>142</v>
      </c>
      <c r="Z144" s="61">
        <v>1</v>
      </c>
      <c r="AA144" s="69"/>
      <c r="AB144" s="61"/>
      <c r="AC144" s="63"/>
      <c r="AD144" s="61"/>
      <c r="AE144" s="61" t="s">
        <v>230</v>
      </c>
    </row>
    <row r="145" s="2" customFormat="1" ht="22.5" spans="1:31">
      <c r="A145" s="31">
        <f t="shared" si="6"/>
        <v>62</v>
      </c>
      <c r="B145" s="59"/>
      <c r="C145" s="31" t="s">
        <v>931</v>
      </c>
      <c r="D145" s="31" t="s">
        <v>932</v>
      </c>
      <c r="E145" s="31" t="s">
        <v>933</v>
      </c>
      <c r="F145" s="31" t="s">
        <v>141</v>
      </c>
      <c r="G145" s="31" t="s">
        <v>142</v>
      </c>
      <c r="H145" s="31">
        <v>13</v>
      </c>
      <c r="I145" s="43"/>
      <c r="J145" s="31"/>
      <c r="K145" s="31"/>
      <c r="L145" s="31"/>
      <c r="M145" s="31"/>
      <c r="P145" s="70"/>
      <c r="S145" s="31">
        <f t="shared" si="11"/>
        <v>61</v>
      </c>
      <c r="T145" s="59"/>
      <c r="U145" s="31" t="s">
        <v>931</v>
      </c>
      <c r="V145" s="31" t="s">
        <v>932</v>
      </c>
      <c r="W145" s="31" t="s">
        <v>934</v>
      </c>
      <c r="X145" s="31" t="s">
        <v>141</v>
      </c>
      <c r="Y145" s="31" t="s">
        <v>142</v>
      </c>
      <c r="Z145" s="31">
        <v>13</v>
      </c>
      <c r="AA145" s="43"/>
      <c r="AB145" s="31"/>
      <c r="AC145" s="31"/>
      <c r="AD145" s="31"/>
      <c r="AE145" s="31"/>
    </row>
    <row r="146" s="2" customFormat="1" ht="22.5" spans="1:31">
      <c r="A146" s="31">
        <f t="shared" si="6"/>
        <v>63</v>
      </c>
      <c r="B146" s="59"/>
      <c r="C146" s="31" t="s">
        <v>935</v>
      </c>
      <c r="D146" s="31" t="s">
        <v>936</v>
      </c>
      <c r="E146" s="31" t="s">
        <v>937</v>
      </c>
      <c r="F146" s="31" t="s">
        <v>141</v>
      </c>
      <c r="G146" s="31" t="s">
        <v>142</v>
      </c>
      <c r="H146" s="31">
        <v>13</v>
      </c>
      <c r="I146" s="43"/>
      <c r="J146" s="31"/>
      <c r="K146" s="31"/>
      <c r="L146" s="31"/>
      <c r="M146" s="31"/>
      <c r="P146" s="70"/>
      <c r="S146" s="31">
        <f t="shared" si="11"/>
        <v>62</v>
      </c>
      <c r="T146" s="59"/>
      <c r="U146" s="31" t="s">
        <v>935</v>
      </c>
      <c r="V146" s="31" t="s">
        <v>936</v>
      </c>
      <c r="W146" s="31" t="s">
        <v>938</v>
      </c>
      <c r="X146" s="31" t="s">
        <v>141</v>
      </c>
      <c r="Y146" s="31" t="s">
        <v>142</v>
      </c>
      <c r="Z146" s="31">
        <v>13</v>
      </c>
      <c r="AA146" s="43"/>
      <c r="AB146" s="31"/>
      <c r="AC146" s="31"/>
      <c r="AD146" s="31"/>
      <c r="AE146" s="31"/>
    </row>
    <row r="147" s="2" customFormat="1" ht="22.5" spans="1:31">
      <c r="A147" s="31">
        <f t="shared" si="6"/>
        <v>64</v>
      </c>
      <c r="B147" s="59"/>
      <c r="C147" s="31" t="s">
        <v>939</v>
      </c>
      <c r="D147" s="31" t="s">
        <v>940</v>
      </c>
      <c r="E147" s="31" t="s">
        <v>941</v>
      </c>
      <c r="F147" s="31" t="s">
        <v>141</v>
      </c>
      <c r="G147" s="31" t="s">
        <v>142</v>
      </c>
      <c r="H147" s="31">
        <v>13</v>
      </c>
      <c r="I147" s="43"/>
      <c r="J147" s="31"/>
      <c r="K147" s="31"/>
      <c r="L147" s="31"/>
      <c r="M147" s="31"/>
      <c r="P147" s="70"/>
      <c r="S147" s="31">
        <f t="shared" si="11"/>
        <v>63</v>
      </c>
      <c r="T147" s="59"/>
      <c r="U147" s="31" t="s">
        <v>939</v>
      </c>
      <c r="V147" s="31" t="s">
        <v>940</v>
      </c>
      <c r="W147" s="31" t="s">
        <v>942</v>
      </c>
      <c r="X147" s="31" t="s">
        <v>141</v>
      </c>
      <c r="Y147" s="31" t="s">
        <v>142</v>
      </c>
      <c r="Z147" s="31">
        <v>13</v>
      </c>
      <c r="AA147" s="43"/>
      <c r="AB147" s="31"/>
      <c r="AC147" s="31"/>
      <c r="AD147" s="31"/>
      <c r="AE147" s="31"/>
    </row>
    <row r="148" s="2" customFormat="1" ht="22.5" spans="1:31">
      <c r="A148" s="31">
        <f t="shared" si="6"/>
        <v>65</v>
      </c>
      <c r="B148" s="59"/>
      <c r="C148" s="31" t="s">
        <v>943</v>
      </c>
      <c r="D148" s="31" t="s">
        <v>944</v>
      </c>
      <c r="E148" s="31" t="s">
        <v>945</v>
      </c>
      <c r="F148" s="31" t="s">
        <v>141</v>
      </c>
      <c r="G148" s="31" t="s">
        <v>142</v>
      </c>
      <c r="H148" s="31">
        <v>13</v>
      </c>
      <c r="I148" s="43"/>
      <c r="J148" s="31"/>
      <c r="K148" s="31"/>
      <c r="L148" s="31"/>
      <c r="M148" s="31"/>
      <c r="P148" s="70"/>
      <c r="S148" s="31">
        <f t="shared" si="11"/>
        <v>64</v>
      </c>
      <c r="T148" s="59"/>
      <c r="U148" s="31" t="s">
        <v>943</v>
      </c>
      <c r="V148" s="31" t="s">
        <v>944</v>
      </c>
      <c r="W148" s="31" t="s">
        <v>946</v>
      </c>
      <c r="X148" s="31" t="s">
        <v>141</v>
      </c>
      <c r="Y148" s="31" t="s">
        <v>142</v>
      </c>
      <c r="Z148" s="31">
        <v>13</v>
      </c>
      <c r="AA148" s="43"/>
      <c r="AB148" s="31"/>
      <c r="AC148" s="31"/>
      <c r="AD148" s="31"/>
      <c r="AE148" s="31"/>
    </row>
    <row r="149" s="2" customFormat="1" spans="1:31">
      <c r="A149" s="61">
        <f t="shared" si="6"/>
        <v>66</v>
      </c>
      <c r="B149" s="62"/>
      <c r="C149" s="61" t="s">
        <v>947</v>
      </c>
      <c r="D149" s="63" t="s">
        <v>948</v>
      </c>
      <c r="E149" s="61"/>
      <c r="F149" s="61" t="s">
        <v>153</v>
      </c>
      <c r="G149" s="61" t="s">
        <v>142</v>
      </c>
      <c r="H149" s="61" t="s">
        <v>8</v>
      </c>
      <c r="I149" s="69"/>
      <c r="J149" s="61">
        <v>0</v>
      </c>
      <c r="K149" s="61"/>
      <c r="L149" s="61"/>
      <c r="M149" s="61" t="s">
        <v>230</v>
      </c>
      <c r="P149" s="70"/>
      <c r="S149" s="61">
        <f t="shared" si="11"/>
        <v>65</v>
      </c>
      <c r="T149" s="62"/>
      <c r="U149" s="61" t="s">
        <v>947</v>
      </c>
      <c r="V149" s="63" t="s">
        <v>948</v>
      </c>
      <c r="W149" s="61"/>
      <c r="X149" s="61" t="s">
        <v>153</v>
      </c>
      <c r="Y149" s="61" t="s">
        <v>142</v>
      </c>
      <c r="Z149" s="61" t="s">
        <v>8</v>
      </c>
      <c r="AA149" s="69"/>
      <c r="AB149" s="61">
        <v>0</v>
      </c>
      <c r="AC149" s="61"/>
      <c r="AD149" s="61"/>
      <c r="AE149" s="61" t="s">
        <v>230</v>
      </c>
    </row>
    <row r="150" s="2" customFormat="1" spans="1:31">
      <c r="A150" s="61">
        <f t="shared" si="6"/>
        <v>67</v>
      </c>
      <c r="B150" s="62"/>
      <c r="C150" s="61" t="s">
        <v>949</v>
      </c>
      <c r="D150" s="63" t="s">
        <v>950</v>
      </c>
      <c r="E150" s="61"/>
      <c r="F150" s="61" t="s">
        <v>153</v>
      </c>
      <c r="G150" s="61" t="s">
        <v>142</v>
      </c>
      <c r="H150" s="61" t="s">
        <v>8</v>
      </c>
      <c r="I150" s="69"/>
      <c r="J150" s="61"/>
      <c r="K150" s="61"/>
      <c r="L150" s="61"/>
      <c r="M150" s="61" t="s">
        <v>230</v>
      </c>
      <c r="P150" s="70"/>
      <c r="S150" s="61">
        <f t="shared" si="11"/>
        <v>66</v>
      </c>
      <c r="T150" s="62"/>
      <c r="U150" s="61" t="s">
        <v>949</v>
      </c>
      <c r="V150" s="63" t="s">
        <v>950</v>
      </c>
      <c r="W150" s="61"/>
      <c r="X150" s="61" t="s">
        <v>153</v>
      </c>
      <c r="Y150" s="61" t="s">
        <v>142</v>
      </c>
      <c r="Z150" s="61" t="s">
        <v>8</v>
      </c>
      <c r="AA150" s="69"/>
      <c r="AB150" s="61"/>
      <c r="AC150" s="61"/>
      <c r="AD150" s="61"/>
      <c r="AE150" s="61" t="s">
        <v>230</v>
      </c>
    </row>
    <row r="151" s="2" customFormat="1" spans="1:31">
      <c r="A151" s="61">
        <f t="shared" si="6"/>
        <v>68</v>
      </c>
      <c r="B151" s="62"/>
      <c r="C151" s="61" t="s">
        <v>951</v>
      </c>
      <c r="D151" s="63" t="s">
        <v>952</v>
      </c>
      <c r="E151" s="61"/>
      <c r="F151" s="61" t="s">
        <v>153</v>
      </c>
      <c r="G151" s="61" t="s">
        <v>142</v>
      </c>
      <c r="H151" s="61" t="s">
        <v>8</v>
      </c>
      <c r="I151" s="69" t="s">
        <v>22</v>
      </c>
      <c r="J151" s="61">
        <v>0</v>
      </c>
      <c r="K151" s="61"/>
      <c r="L151" s="61"/>
      <c r="M151" s="61" t="s">
        <v>230</v>
      </c>
      <c r="P151" s="70"/>
      <c r="S151" s="61">
        <f t="shared" si="11"/>
        <v>67</v>
      </c>
      <c r="T151" s="62"/>
      <c r="U151" s="61" t="s">
        <v>951</v>
      </c>
      <c r="V151" s="63" t="s">
        <v>952</v>
      </c>
      <c r="W151" s="61"/>
      <c r="X151" s="61" t="s">
        <v>153</v>
      </c>
      <c r="Y151" s="61" t="s">
        <v>142</v>
      </c>
      <c r="Z151" s="61" t="s">
        <v>8</v>
      </c>
      <c r="AA151" s="69" t="s">
        <v>22</v>
      </c>
      <c r="AB151" s="61">
        <v>0</v>
      </c>
      <c r="AC151" s="61"/>
      <c r="AD151" s="61"/>
      <c r="AE151" s="61" t="s">
        <v>230</v>
      </c>
    </row>
    <row r="152" s="2" customFormat="1" ht="45" spans="1:31">
      <c r="A152" s="31">
        <f t="shared" si="6"/>
        <v>69</v>
      </c>
      <c r="B152" s="59"/>
      <c r="C152" s="31" t="s">
        <v>474</v>
      </c>
      <c r="D152" s="31" t="s">
        <v>475</v>
      </c>
      <c r="E152" s="31" t="s">
        <v>953</v>
      </c>
      <c r="F152" s="31"/>
      <c r="G152" s="31" t="s">
        <v>474</v>
      </c>
      <c r="H152" s="31"/>
      <c r="I152" s="43"/>
      <c r="J152" s="31"/>
      <c r="K152" s="31"/>
      <c r="L152" s="31"/>
      <c r="M152" s="31"/>
      <c r="P152" s="70"/>
      <c r="S152" s="31">
        <f t="shared" si="11"/>
        <v>68</v>
      </c>
      <c r="T152" s="59"/>
      <c r="U152" s="31" t="s">
        <v>474</v>
      </c>
      <c r="V152" s="31" t="s">
        <v>475</v>
      </c>
      <c r="W152" s="31" t="s">
        <v>954</v>
      </c>
      <c r="X152" s="31"/>
      <c r="Y152" s="31" t="s">
        <v>474</v>
      </c>
      <c r="Z152" s="31"/>
      <c r="AA152" s="43"/>
      <c r="AB152" s="31"/>
      <c r="AC152" s="31"/>
      <c r="AD152" s="31"/>
      <c r="AE152" s="31"/>
    </row>
    <row r="153" s="2" customFormat="1" spans="1:31">
      <c r="A153" s="31">
        <f t="shared" si="6"/>
        <v>70</v>
      </c>
      <c r="B153" s="59"/>
      <c r="C153" s="31" t="s">
        <v>450</v>
      </c>
      <c r="D153" s="31" t="s">
        <v>451</v>
      </c>
      <c r="E153" s="31" t="s">
        <v>452</v>
      </c>
      <c r="F153" s="31"/>
      <c r="G153" s="31" t="s">
        <v>142</v>
      </c>
      <c r="H153" s="31">
        <v>32</v>
      </c>
      <c r="I153" s="43"/>
      <c r="J153" s="31"/>
      <c r="K153" s="31"/>
      <c r="L153" s="31"/>
      <c r="M153" s="32" t="s">
        <v>955</v>
      </c>
      <c r="P153" s="70"/>
      <c r="S153" s="31">
        <f t="shared" si="11"/>
        <v>69</v>
      </c>
      <c r="T153" s="59"/>
      <c r="U153" s="31" t="s">
        <v>450</v>
      </c>
      <c r="V153" s="31" t="s">
        <v>451</v>
      </c>
      <c r="W153" s="31" t="s">
        <v>454</v>
      </c>
      <c r="X153" s="31"/>
      <c r="Y153" s="31" t="s">
        <v>142</v>
      </c>
      <c r="Z153" s="31">
        <v>32</v>
      </c>
      <c r="AA153" s="43"/>
      <c r="AB153" s="31"/>
      <c r="AC153" s="31"/>
      <c r="AD153" s="31"/>
      <c r="AE153" s="82" t="s">
        <v>956</v>
      </c>
    </row>
    <row r="154" s="2" customFormat="1" spans="1:31">
      <c r="A154" s="31">
        <f t="shared" si="6"/>
        <v>71</v>
      </c>
      <c r="B154" s="59"/>
      <c r="C154" s="31" t="s">
        <v>149</v>
      </c>
      <c r="D154" s="87" t="s">
        <v>6</v>
      </c>
      <c r="E154" s="31"/>
      <c r="F154" s="31" t="s">
        <v>141</v>
      </c>
      <c r="G154" s="31" t="s">
        <v>142</v>
      </c>
      <c r="H154" s="31">
        <v>256</v>
      </c>
      <c r="I154" s="43"/>
      <c r="J154" s="31"/>
      <c r="K154" s="31"/>
      <c r="L154" s="31"/>
      <c r="M154" s="31"/>
      <c r="P154" s="70"/>
      <c r="S154" s="31">
        <f t="shared" si="11"/>
        <v>70</v>
      </c>
      <c r="T154" s="59"/>
      <c r="U154" s="31" t="s">
        <v>149</v>
      </c>
      <c r="V154" s="87" t="s">
        <v>6</v>
      </c>
      <c r="W154" s="31"/>
      <c r="X154" s="31" t="s">
        <v>141</v>
      </c>
      <c r="Y154" s="31" t="s">
        <v>142</v>
      </c>
      <c r="Z154" s="31">
        <v>256</v>
      </c>
      <c r="AA154" s="43"/>
      <c r="AB154" s="31"/>
      <c r="AC154" s="31"/>
      <c r="AD154" s="31"/>
      <c r="AE154" s="31"/>
    </row>
    <row r="155" s="2" customFormat="1" ht="22.5" spans="1:31">
      <c r="A155" s="33">
        <f t="shared" si="6"/>
        <v>72</v>
      </c>
      <c r="B155" s="34"/>
      <c r="C155" s="33" t="s">
        <v>150</v>
      </c>
      <c r="D155" s="35" t="s">
        <v>151</v>
      </c>
      <c r="E155" s="33" t="s">
        <v>152</v>
      </c>
      <c r="F155" s="33" t="s">
        <v>153</v>
      </c>
      <c r="G155" s="33" t="s">
        <v>154</v>
      </c>
      <c r="H155" s="33" t="s">
        <v>8</v>
      </c>
      <c r="I155" s="45" t="s">
        <v>22</v>
      </c>
      <c r="J155" s="225" t="s">
        <v>155</v>
      </c>
      <c r="K155" s="33"/>
      <c r="L155" s="33"/>
      <c r="M155" s="33" t="s">
        <v>156</v>
      </c>
      <c r="P155" s="70"/>
      <c r="S155" s="33">
        <f t="shared" si="11"/>
        <v>71</v>
      </c>
      <c r="T155" s="34"/>
      <c r="U155" s="33" t="s">
        <v>150</v>
      </c>
      <c r="V155" s="35" t="s">
        <v>151</v>
      </c>
      <c r="W155" s="33" t="s">
        <v>644</v>
      </c>
      <c r="X155" s="33" t="s">
        <v>153</v>
      </c>
      <c r="Y155" s="33" t="s">
        <v>154</v>
      </c>
      <c r="Z155" s="33" t="s">
        <v>8</v>
      </c>
      <c r="AA155" s="45" t="s">
        <v>22</v>
      </c>
      <c r="AB155" s="225" t="s">
        <v>155</v>
      </c>
      <c r="AC155" s="33"/>
      <c r="AD155" s="33"/>
      <c r="AE155" s="33" t="s">
        <v>349</v>
      </c>
    </row>
    <row r="156" s="2" customFormat="1" spans="1:31">
      <c r="A156" s="33">
        <f t="shared" si="6"/>
        <v>73</v>
      </c>
      <c r="B156" s="34"/>
      <c r="C156" s="33" t="s">
        <v>159</v>
      </c>
      <c r="D156" s="35" t="s">
        <v>160</v>
      </c>
      <c r="E156" s="33" t="s">
        <v>161</v>
      </c>
      <c r="F156" s="33" t="s">
        <v>153</v>
      </c>
      <c r="G156" s="33" t="s">
        <v>162</v>
      </c>
      <c r="H156" s="33"/>
      <c r="I156" s="45" t="s">
        <v>22</v>
      </c>
      <c r="J156" s="33">
        <v>0</v>
      </c>
      <c r="K156" s="33"/>
      <c r="L156" s="33"/>
      <c r="M156" s="33"/>
      <c r="P156" s="70"/>
      <c r="S156" s="33">
        <f t="shared" si="11"/>
        <v>72</v>
      </c>
      <c r="T156" s="34"/>
      <c r="U156" s="33" t="s">
        <v>159</v>
      </c>
      <c r="V156" s="35" t="s">
        <v>160</v>
      </c>
      <c r="W156" s="33" t="s">
        <v>163</v>
      </c>
      <c r="X156" s="33" t="s">
        <v>153</v>
      </c>
      <c r="Y156" s="33" t="s">
        <v>162</v>
      </c>
      <c r="Z156" s="33"/>
      <c r="AA156" s="45" t="s">
        <v>22</v>
      </c>
      <c r="AB156" s="33">
        <v>0</v>
      </c>
      <c r="AC156" s="33"/>
      <c r="AD156" s="33"/>
      <c r="AE156" s="33"/>
    </row>
    <row r="157" s="2" customFormat="1" spans="1:31">
      <c r="A157" s="33">
        <f t="shared" si="6"/>
        <v>74</v>
      </c>
      <c r="B157" s="34"/>
      <c r="C157" s="33" t="s">
        <v>164</v>
      </c>
      <c r="D157" s="35" t="s">
        <v>165</v>
      </c>
      <c r="E157" s="33"/>
      <c r="F157" s="33" t="s">
        <v>141</v>
      </c>
      <c r="G157" s="33" t="s">
        <v>142</v>
      </c>
      <c r="H157" s="33">
        <v>32</v>
      </c>
      <c r="I157" s="45"/>
      <c r="J157" s="33"/>
      <c r="K157" s="33"/>
      <c r="L157" s="33"/>
      <c r="M157" s="33"/>
      <c r="P157" s="70"/>
      <c r="S157" s="33">
        <f t="shared" si="11"/>
        <v>73</v>
      </c>
      <c r="T157" s="34"/>
      <c r="U157" s="33" t="s">
        <v>164</v>
      </c>
      <c r="V157" s="35" t="s">
        <v>165</v>
      </c>
      <c r="W157" s="33"/>
      <c r="X157" s="33" t="s">
        <v>141</v>
      </c>
      <c r="Y157" s="33" t="s">
        <v>142</v>
      </c>
      <c r="Z157" s="33">
        <v>32</v>
      </c>
      <c r="AA157" s="45"/>
      <c r="AB157" s="33"/>
      <c r="AC157" s="33"/>
      <c r="AD157" s="33"/>
      <c r="AE157" s="33"/>
    </row>
    <row r="158" s="2" customFormat="1" spans="1:31">
      <c r="A158" s="33">
        <f t="shared" si="6"/>
        <v>75</v>
      </c>
      <c r="B158" s="34"/>
      <c r="C158" s="33" t="s">
        <v>166</v>
      </c>
      <c r="D158" s="35" t="s">
        <v>167</v>
      </c>
      <c r="E158" s="33"/>
      <c r="F158" s="33" t="s">
        <v>153</v>
      </c>
      <c r="G158" s="33" t="s">
        <v>142</v>
      </c>
      <c r="H158" s="33">
        <v>32</v>
      </c>
      <c r="I158" s="45"/>
      <c r="J158" s="33"/>
      <c r="K158" s="33"/>
      <c r="L158" s="33"/>
      <c r="M158" s="33" t="s">
        <v>168</v>
      </c>
      <c r="P158" s="70"/>
      <c r="S158" s="33">
        <f t="shared" si="11"/>
        <v>74</v>
      </c>
      <c r="T158" s="34"/>
      <c r="U158" s="33" t="s">
        <v>166</v>
      </c>
      <c r="V158" s="35" t="s">
        <v>167</v>
      </c>
      <c r="W158" s="33"/>
      <c r="X158" s="33" t="s">
        <v>153</v>
      </c>
      <c r="Y158" s="33" t="s">
        <v>142</v>
      </c>
      <c r="Z158" s="33">
        <v>32</v>
      </c>
      <c r="AA158" s="45"/>
      <c r="AB158" s="33"/>
      <c r="AC158" s="33"/>
      <c r="AD158" s="33"/>
      <c r="AE158" s="33" t="s">
        <v>169</v>
      </c>
    </row>
    <row r="159" s="2" customFormat="1" spans="1:31">
      <c r="A159" s="33">
        <f t="shared" si="6"/>
        <v>76</v>
      </c>
      <c r="B159" s="34"/>
      <c r="C159" s="36" t="s">
        <v>170</v>
      </c>
      <c r="D159" s="35" t="s">
        <v>171</v>
      </c>
      <c r="E159" s="33"/>
      <c r="F159" s="33" t="s">
        <v>172</v>
      </c>
      <c r="G159" s="33" t="s">
        <v>173</v>
      </c>
      <c r="H159" s="33" t="s">
        <v>8</v>
      </c>
      <c r="I159" s="45" t="s">
        <v>22</v>
      </c>
      <c r="J159" s="33"/>
      <c r="K159" s="33"/>
      <c r="L159" s="33"/>
      <c r="M159" s="33"/>
      <c r="P159" s="70"/>
      <c r="S159" s="33">
        <f t="shared" si="11"/>
        <v>75</v>
      </c>
      <c r="T159" s="34"/>
      <c r="U159" s="33" t="s">
        <v>351</v>
      </c>
      <c r="V159" s="35" t="s">
        <v>171</v>
      </c>
      <c r="W159" s="33"/>
      <c r="X159" s="33" t="s">
        <v>172</v>
      </c>
      <c r="Y159" s="33" t="s">
        <v>173</v>
      </c>
      <c r="Z159" s="33" t="s">
        <v>8</v>
      </c>
      <c r="AA159" s="45" t="s">
        <v>22</v>
      </c>
      <c r="AB159" s="33"/>
      <c r="AC159" s="33"/>
      <c r="AD159" s="33"/>
      <c r="AE159" s="33"/>
    </row>
    <row r="160" s="2" customFormat="1" spans="1:31">
      <c r="A160" s="33">
        <f t="shared" si="6"/>
        <v>77</v>
      </c>
      <c r="B160" s="34"/>
      <c r="C160" s="33" t="s">
        <v>174</v>
      </c>
      <c r="D160" s="35" t="s">
        <v>175</v>
      </c>
      <c r="E160" s="33"/>
      <c r="F160" s="33" t="s">
        <v>141</v>
      </c>
      <c r="G160" s="33" t="s">
        <v>142</v>
      </c>
      <c r="H160" s="33">
        <v>32</v>
      </c>
      <c r="I160" s="45"/>
      <c r="J160" s="33"/>
      <c r="K160" s="33"/>
      <c r="L160" s="33"/>
      <c r="M160" s="33"/>
      <c r="P160" s="70"/>
      <c r="S160" s="33">
        <f t="shared" si="11"/>
        <v>76</v>
      </c>
      <c r="T160" s="34"/>
      <c r="U160" s="33" t="s">
        <v>174</v>
      </c>
      <c r="V160" s="35" t="s">
        <v>175</v>
      </c>
      <c r="W160" s="33"/>
      <c r="X160" s="33" t="s">
        <v>141</v>
      </c>
      <c r="Y160" s="33" t="s">
        <v>142</v>
      </c>
      <c r="Z160" s="33">
        <v>32</v>
      </c>
      <c r="AA160" s="45"/>
      <c r="AB160" s="33"/>
      <c r="AC160" s="33"/>
      <c r="AD160" s="33"/>
      <c r="AE160" s="33"/>
    </row>
    <row r="161" s="2" customFormat="1" ht="22.5" spans="1:31">
      <c r="A161" s="33">
        <f t="shared" si="6"/>
        <v>78</v>
      </c>
      <c r="B161" s="34"/>
      <c r="C161" s="33" t="s">
        <v>176</v>
      </c>
      <c r="D161" s="35" t="s">
        <v>177</v>
      </c>
      <c r="E161" s="33" t="s">
        <v>178</v>
      </c>
      <c r="F161" s="33" t="s">
        <v>153</v>
      </c>
      <c r="G161" s="33" t="s">
        <v>142</v>
      </c>
      <c r="H161" s="33">
        <v>32</v>
      </c>
      <c r="I161" s="45"/>
      <c r="J161" s="33"/>
      <c r="K161" s="33"/>
      <c r="L161" s="33"/>
      <c r="M161" s="33" t="s">
        <v>179</v>
      </c>
      <c r="P161" s="70"/>
      <c r="S161" s="33">
        <f t="shared" si="11"/>
        <v>77</v>
      </c>
      <c r="T161" s="34"/>
      <c r="U161" s="33" t="s">
        <v>176</v>
      </c>
      <c r="V161" s="35" t="s">
        <v>177</v>
      </c>
      <c r="W161" s="33" t="s">
        <v>180</v>
      </c>
      <c r="X161" s="33" t="s">
        <v>153</v>
      </c>
      <c r="Y161" s="33" t="s">
        <v>142</v>
      </c>
      <c r="Z161" s="33">
        <v>32</v>
      </c>
      <c r="AA161" s="45"/>
      <c r="AB161" s="33"/>
      <c r="AC161" s="33"/>
      <c r="AD161" s="33"/>
      <c r="AE161" s="33" t="s">
        <v>645</v>
      </c>
    </row>
    <row r="162" s="2" customFormat="1" spans="1:31">
      <c r="A162" s="33">
        <f t="shared" si="6"/>
        <v>79</v>
      </c>
      <c r="B162" s="34"/>
      <c r="C162" s="36" t="s">
        <v>182</v>
      </c>
      <c r="D162" s="35" t="s">
        <v>183</v>
      </c>
      <c r="E162" s="33"/>
      <c r="F162" s="33" t="s">
        <v>172</v>
      </c>
      <c r="G162" s="33" t="s">
        <v>173</v>
      </c>
      <c r="H162" s="33" t="s">
        <v>8</v>
      </c>
      <c r="I162" s="45" t="s">
        <v>22</v>
      </c>
      <c r="J162" s="33"/>
      <c r="K162" s="33"/>
      <c r="L162" s="33"/>
      <c r="M162" s="33"/>
      <c r="P162" s="70"/>
      <c r="S162" s="33">
        <f t="shared" si="11"/>
        <v>78</v>
      </c>
      <c r="T162" s="34"/>
      <c r="U162" s="33" t="s">
        <v>353</v>
      </c>
      <c r="V162" s="35" t="s">
        <v>183</v>
      </c>
      <c r="W162" s="33"/>
      <c r="X162" s="33" t="s">
        <v>172</v>
      </c>
      <c r="Y162" s="33" t="s">
        <v>173</v>
      </c>
      <c r="Z162" s="33" t="s">
        <v>8</v>
      </c>
      <c r="AA162" s="45" t="s">
        <v>22</v>
      </c>
      <c r="AB162" s="33"/>
      <c r="AC162" s="33"/>
      <c r="AD162" s="33"/>
      <c r="AE162" s="33"/>
    </row>
    <row r="164" hidden="1" outlineLevel="1" spans="1:27">
      <c r="A164" s="6"/>
      <c r="B164" s="7" t="s">
        <v>15</v>
      </c>
      <c r="C164" s="8" t="s">
        <v>957</v>
      </c>
      <c r="D164" s="9"/>
      <c r="I164" s="37"/>
      <c r="S164" s="6"/>
      <c r="T164" s="7" t="s">
        <v>15</v>
      </c>
      <c r="U164" s="8" t="s">
        <v>957</v>
      </c>
      <c r="V164" s="9"/>
      <c r="AA164" s="37"/>
    </row>
    <row r="165" hidden="1" outlineLevel="1" spans="1:31">
      <c r="A165" s="10"/>
      <c r="B165" s="11" t="s">
        <v>124</v>
      </c>
      <c r="C165" s="8" t="e">
        <f>テーブル一覧!#REF!</f>
        <v>#REF!</v>
      </c>
      <c r="D165" s="9"/>
      <c r="E165" s="2" t="s">
        <v>958</v>
      </c>
      <c r="F165" s="3"/>
      <c r="G165" s="3"/>
      <c r="H165" s="3"/>
      <c r="I165" s="37"/>
      <c r="J165" s="3"/>
      <c r="K165" s="3"/>
      <c r="L165" s="3"/>
      <c r="M165" s="38"/>
      <c r="S165" s="10"/>
      <c r="T165" s="11" t="s">
        <v>124</v>
      </c>
      <c r="U165" s="8" t="e">
        <f>テーブル一覧!#REF!</f>
        <v>#REF!</v>
      </c>
      <c r="V165" s="9"/>
      <c r="W165" s="2" t="s">
        <v>958</v>
      </c>
      <c r="X165" s="3"/>
      <c r="Y165" s="3"/>
      <c r="Z165" s="3"/>
      <c r="AA165" s="37"/>
      <c r="AB165" s="3"/>
      <c r="AC165" s="3"/>
      <c r="AD165" s="3"/>
      <c r="AE165" s="38"/>
    </row>
    <row r="166" hidden="1" outlineLevel="1" spans="1:31">
      <c r="A166" s="12" t="s">
        <v>0</v>
      </c>
      <c r="B166" s="13"/>
      <c r="C166" s="14" t="s">
        <v>126</v>
      </c>
      <c r="D166" s="15" t="s">
        <v>15</v>
      </c>
      <c r="E166" s="14" t="s">
        <v>16</v>
      </c>
      <c r="F166" s="14" t="s">
        <v>127</v>
      </c>
      <c r="G166" s="14" t="s">
        <v>127</v>
      </c>
      <c r="H166" s="14" t="s">
        <v>128</v>
      </c>
      <c r="I166" s="39" t="s">
        <v>129</v>
      </c>
      <c r="J166" s="14" t="s">
        <v>130</v>
      </c>
      <c r="K166" s="14" t="s">
        <v>131</v>
      </c>
      <c r="L166" s="14" t="s">
        <v>132</v>
      </c>
      <c r="M166" s="14" t="s">
        <v>6</v>
      </c>
      <c r="S166" s="12" t="s">
        <v>0</v>
      </c>
      <c r="T166" s="13"/>
      <c r="U166" s="14" t="s">
        <v>126</v>
      </c>
      <c r="V166" s="15" t="s">
        <v>15</v>
      </c>
      <c r="W166" s="14" t="s">
        <v>16</v>
      </c>
      <c r="X166" s="14" t="s">
        <v>127</v>
      </c>
      <c r="Y166" s="14" t="s">
        <v>127</v>
      </c>
      <c r="Z166" s="14" t="s">
        <v>128</v>
      </c>
      <c r="AA166" s="39" t="s">
        <v>129</v>
      </c>
      <c r="AB166" s="14" t="s">
        <v>130</v>
      </c>
      <c r="AC166" s="14" t="s">
        <v>131</v>
      </c>
      <c r="AD166" s="14" t="s">
        <v>132</v>
      </c>
      <c r="AE166" s="14" t="s">
        <v>6</v>
      </c>
    </row>
    <row r="167" s="2" customFormat="1" hidden="1" outlineLevel="1" spans="1:31">
      <c r="A167" s="31">
        <v>1</v>
      </c>
      <c r="B167" s="59"/>
      <c r="C167" s="31" t="s">
        <v>139</v>
      </c>
      <c r="D167" s="87" t="s">
        <v>959</v>
      </c>
      <c r="E167" s="31" t="s">
        <v>646</v>
      </c>
      <c r="F167" s="31" t="s">
        <v>301</v>
      </c>
      <c r="G167" s="31" t="s">
        <v>306</v>
      </c>
      <c r="H167" s="31" t="s">
        <v>8</v>
      </c>
      <c r="I167" s="43" t="s">
        <v>22</v>
      </c>
      <c r="J167" s="31"/>
      <c r="K167" s="87" t="s">
        <v>303</v>
      </c>
      <c r="L167" s="31" t="s">
        <v>188</v>
      </c>
      <c r="M167" s="31"/>
      <c r="P167" s="70"/>
      <c r="S167" s="31">
        <v>1</v>
      </c>
      <c r="T167" s="59"/>
      <c r="U167" s="31" t="s">
        <v>139</v>
      </c>
      <c r="V167" s="87" t="s">
        <v>959</v>
      </c>
      <c r="W167" s="31" t="s">
        <v>646</v>
      </c>
      <c r="X167" s="31" t="s">
        <v>301</v>
      </c>
      <c r="Y167" s="31" t="s">
        <v>306</v>
      </c>
      <c r="Z167" s="31" t="s">
        <v>8</v>
      </c>
      <c r="AA167" s="43" t="s">
        <v>22</v>
      </c>
      <c r="AB167" s="31"/>
      <c r="AC167" s="87" t="s">
        <v>303</v>
      </c>
      <c r="AD167" s="31" t="s">
        <v>188</v>
      </c>
      <c r="AE167" s="31"/>
    </row>
    <row r="168" s="2" customFormat="1" hidden="1" outlineLevel="1" spans="1:31">
      <c r="A168" s="31">
        <f t="shared" ref="A168:A175" si="12">A167+1</f>
        <v>2</v>
      </c>
      <c r="B168" s="59"/>
      <c r="C168" s="31" t="s">
        <v>413</v>
      </c>
      <c r="D168" s="87" t="s">
        <v>414</v>
      </c>
      <c r="E168" s="31"/>
      <c r="F168" s="31" t="s">
        <v>301</v>
      </c>
      <c r="G168" s="31" t="s">
        <v>306</v>
      </c>
      <c r="H168" s="31" t="s">
        <v>8</v>
      </c>
      <c r="I168" s="43" t="s">
        <v>22</v>
      </c>
      <c r="J168" s="31"/>
      <c r="K168" s="87"/>
      <c r="L168" s="31" t="s">
        <v>216</v>
      </c>
      <c r="M168" s="31"/>
      <c r="P168" s="70"/>
      <c r="S168" s="31">
        <f t="shared" ref="S168:S183" si="13">S167+1</f>
        <v>2</v>
      </c>
      <c r="T168" s="59"/>
      <c r="U168" s="31" t="s">
        <v>413</v>
      </c>
      <c r="V168" s="87" t="s">
        <v>414</v>
      </c>
      <c r="W168" s="31"/>
      <c r="X168" s="31" t="s">
        <v>301</v>
      </c>
      <c r="Y168" s="31" t="s">
        <v>306</v>
      </c>
      <c r="Z168" s="31" t="s">
        <v>8</v>
      </c>
      <c r="AA168" s="43" t="s">
        <v>22</v>
      </c>
      <c r="AB168" s="31"/>
      <c r="AC168" s="87"/>
      <c r="AD168" s="31" t="s">
        <v>216</v>
      </c>
      <c r="AE168" s="31"/>
    </row>
    <row r="169" s="2" customFormat="1" hidden="1" outlineLevel="1" spans="1:31">
      <c r="A169" s="31">
        <f t="shared" si="12"/>
        <v>3</v>
      </c>
      <c r="B169" s="59"/>
      <c r="C169" s="31" t="s">
        <v>619</v>
      </c>
      <c r="D169" s="87" t="s">
        <v>416</v>
      </c>
      <c r="E169" s="31"/>
      <c r="F169" s="31" t="s">
        <v>141</v>
      </c>
      <c r="G169" s="31" t="s">
        <v>142</v>
      </c>
      <c r="H169" s="31">
        <v>64</v>
      </c>
      <c r="I169" s="43" t="s">
        <v>22</v>
      </c>
      <c r="J169" s="31"/>
      <c r="K169" s="87"/>
      <c r="L169" s="31" t="s">
        <v>415</v>
      </c>
      <c r="M169" s="31"/>
      <c r="P169" s="70"/>
      <c r="S169" s="31">
        <f t="shared" si="13"/>
        <v>3</v>
      </c>
      <c r="T169" s="59"/>
      <c r="U169" s="31" t="s">
        <v>619</v>
      </c>
      <c r="V169" s="87" t="s">
        <v>416</v>
      </c>
      <c r="W169" s="31"/>
      <c r="X169" s="31" t="s">
        <v>141</v>
      </c>
      <c r="Y169" s="31" t="s">
        <v>142</v>
      </c>
      <c r="Z169" s="31">
        <v>64</v>
      </c>
      <c r="AA169" s="43" t="s">
        <v>22</v>
      </c>
      <c r="AB169" s="31"/>
      <c r="AC169" s="87"/>
      <c r="AD169" s="31" t="s">
        <v>415</v>
      </c>
      <c r="AE169" s="31"/>
    </row>
    <row r="170" s="2" customFormat="1" hidden="1" outlineLevel="1" spans="1:31">
      <c r="A170" s="99">
        <f t="shared" si="12"/>
        <v>4</v>
      </c>
      <c r="B170" s="100"/>
      <c r="C170" s="99" t="s">
        <v>247</v>
      </c>
      <c r="D170" s="101" t="s">
        <v>248</v>
      </c>
      <c r="E170" s="99"/>
      <c r="F170" s="99" t="s">
        <v>141</v>
      </c>
      <c r="G170" s="99" t="s">
        <v>142</v>
      </c>
      <c r="H170" s="99">
        <v>32</v>
      </c>
      <c r="I170" s="113" t="s">
        <v>22</v>
      </c>
      <c r="J170" s="99"/>
      <c r="K170" s="101"/>
      <c r="L170" s="99" t="s">
        <v>552</v>
      </c>
      <c r="M170" s="99"/>
      <c r="P170" s="70"/>
      <c r="S170" s="99">
        <f t="shared" si="13"/>
        <v>4</v>
      </c>
      <c r="T170" s="100"/>
      <c r="U170" s="99" t="s">
        <v>247</v>
      </c>
      <c r="V170" s="101" t="s">
        <v>248</v>
      </c>
      <c r="W170" s="99"/>
      <c r="X170" s="99" t="s">
        <v>141</v>
      </c>
      <c r="Y170" s="99" t="s">
        <v>142</v>
      </c>
      <c r="Z170" s="99">
        <v>32</v>
      </c>
      <c r="AA170" s="113" t="s">
        <v>22</v>
      </c>
      <c r="AB170" s="99"/>
      <c r="AC170" s="101"/>
      <c r="AD170" s="99" t="s">
        <v>552</v>
      </c>
      <c r="AE170" s="99"/>
    </row>
    <row r="171" s="2" customFormat="1" ht="90" hidden="1" outlineLevel="1" spans="1:31">
      <c r="A171" s="99">
        <f t="shared" si="12"/>
        <v>5</v>
      </c>
      <c r="B171" s="100"/>
      <c r="C171" s="99" t="s">
        <v>780</v>
      </c>
      <c r="D171" s="101" t="s">
        <v>781</v>
      </c>
      <c r="E171" s="99" t="s">
        <v>960</v>
      </c>
      <c r="F171" s="99" t="s">
        <v>141</v>
      </c>
      <c r="G171" s="99" t="s">
        <v>517</v>
      </c>
      <c r="H171" s="99"/>
      <c r="I171" s="113"/>
      <c r="J171" s="99"/>
      <c r="K171" s="101"/>
      <c r="L171" s="99"/>
      <c r="M171" s="99" t="s">
        <v>961</v>
      </c>
      <c r="P171" s="70"/>
      <c r="S171" s="99">
        <f t="shared" si="13"/>
        <v>5</v>
      </c>
      <c r="T171" s="100"/>
      <c r="U171" s="99" t="s">
        <v>780</v>
      </c>
      <c r="V171" s="101" t="s">
        <v>781</v>
      </c>
      <c r="W171" s="99" t="s">
        <v>960</v>
      </c>
      <c r="X171" s="99" t="s">
        <v>141</v>
      </c>
      <c r="Y171" s="99" t="s">
        <v>517</v>
      </c>
      <c r="Z171" s="99"/>
      <c r="AA171" s="113"/>
      <c r="AB171" s="99"/>
      <c r="AC171" s="101"/>
      <c r="AD171" s="99"/>
      <c r="AE171" s="99" t="s">
        <v>961</v>
      </c>
    </row>
    <row r="172" s="2" customFormat="1" hidden="1" outlineLevel="1" spans="1:31">
      <c r="A172" s="99">
        <f t="shared" si="12"/>
        <v>6</v>
      </c>
      <c r="B172" s="100"/>
      <c r="C172" s="99" t="s">
        <v>786</v>
      </c>
      <c r="D172" s="101" t="s">
        <v>787</v>
      </c>
      <c r="E172" s="99"/>
      <c r="F172" s="99" t="s">
        <v>141</v>
      </c>
      <c r="G172" s="99" t="s">
        <v>142</v>
      </c>
      <c r="H172" s="99">
        <v>11</v>
      </c>
      <c r="I172" s="113"/>
      <c r="J172" s="99"/>
      <c r="K172" s="99"/>
      <c r="L172" s="99"/>
      <c r="M172" s="99"/>
      <c r="P172" s="70"/>
      <c r="S172" s="99">
        <f t="shared" si="13"/>
        <v>6</v>
      </c>
      <c r="T172" s="100"/>
      <c r="U172" s="99" t="s">
        <v>786</v>
      </c>
      <c r="V172" s="101" t="s">
        <v>787</v>
      </c>
      <c r="W172" s="99"/>
      <c r="X172" s="99" t="s">
        <v>141</v>
      </c>
      <c r="Y172" s="99" t="s">
        <v>142</v>
      </c>
      <c r="Z172" s="99">
        <v>11</v>
      </c>
      <c r="AA172" s="113"/>
      <c r="AB172" s="99"/>
      <c r="AC172" s="99"/>
      <c r="AD172" s="99"/>
      <c r="AE172" s="99"/>
    </row>
    <row r="173" s="2" customFormat="1" ht="22.5" hidden="1" outlineLevel="1" spans="1:31">
      <c r="A173" s="99">
        <f t="shared" si="12"/>
        <v>7</v>
      </c>
      <c r="B173" s="100"/>
      <c r="C173" s="99" t="s">
        <v>790</v>
      </c>
      <c r="D173" s="101" t="s">
        <v>791</v>
      </c>
      <c r="E173" s="99" t="s">
        <v>792</v>
      </c>
      <c r="F173" s="99" t="s">
        <v>267</v>
      </c>
      <c r="G173" s="99" t="s">
        <v>254</v>
      </c>
      <c r="H173" s="99" t="s">
        <v>8</v>
      </c>
      <c r="I173" s="113" t="s">
        <v>22</v>
      </c>
      <c r="J173" s="99">
        <v>1</v>
      </c>
      <c r="K173" s="99"/>
      <c r="L173" s="99"/>
      <c r="M173" s="99"/>
      <c r="P173" s="70"/>
      <c r="S173" s="99">
        <f t="shared" si="13"/>
        <v>7</v>
      </c>
      <c r="T173" s="100"/>
      <c r="U173" s="99" t="s">
        <v>790</v>
      </c>
      <c r="V173" s="101" t="s">
        <v>791</v>
      </c>
      <c r="W173" s="99" t="s">
        <v>792</v>
      </c>
      <c r="X173" s="99" t="s">
        <v>267</v>
      </c>
      <c r="Y173" s="99" t="s">
        <v>254</v>
      </c>
      <c r="Z173" s="99" t="s">
        <v>8</v>
      </c>
      <c r="AA173" s="113" t="s">
        <v>22</v>
      </c>
      <c r="AB173" s="99">
        <v>1</v>
      </c>
      <c r="AC173" s="99"/>
      <c r="AD173" s="99"/>
      <c r="AE173" s="99"/>
    </row>
    <row r="174" s="2" customFormat="1" hidden="1" outlineLevel="1" spans="1:31">
      <c r="A174" s="61">
        <f t="shared" si="12"/>
        <v>8</v>
      </c>
      <c r="B174" s="62"/>
      <c r="C174" s="61" t="s">
        <v>962</v>
      </c>
      <c r="D174" s="63" t="s">
        <v>963</v>
      </c>
      <c r="E174" s="229" t="s">
        <v>964</v>
      </c>
      <c r="F174" s="61" t="s">
        <v>141</v>
      </c>
      <c r="G174" s="61" t="s">
        <v>142</v>
      </c>
      <c r="H174" s="61">
        <v>32</v>
      </c>
      <c r="I174" s="69"/>
      <c r="J174" s="61"/>
      <c r="K174" s="61"/>
      <c r="L174" s="61"/>
      <c r="M174" s="61" t="s">
        <v>230</v>
      </c>
      <c r="P174" s="70"/>
      <c r="S174" s="61">
        <f t="shared" si="13"/>
        <v>8</v>
      </c>
      <c r="T174" s="62"/>
      <c r="U174" s="61" t="s">
        <v>962</v>
      </c>
      <c r="V174" s="63" t="s">
        <v>963</v>
      </c>
      <c r="W174" s="229" t="s">
        <v>964</v>
      </c>
      <c r="X174" s="61" t="s">
        <v>141</v>
      </c>
      <c r="Y174" s="61" t="s">
        <v>142</v>
      </c>
      <c r="Z174" s="61">
        <v>32</v>
      </c>
      <c r="AA174" s="69"/>
      <c r="AB174" s="61"/>
      <c r="AC174" s="61"/>
      <c r="AD174" s="61"/>
      <c r="AE174" s="61" t="s">
        <v>230</v>
      </c>
    </row>
    <row r="175" s="2" customFormat="1" ht="101.25" hidden="1" outlineLevel="1" spans="1:31">
      <c r="A175" s="61">
        <f t="shared" si="12"/>
        <v>9</v>
      </c>
      <c r="B175" s="62"/>
      <c r="C175" s="61" t="s">
        <v>344</v>
      </c>
      <c r="D175" s="63" t="s">
        <v>965</v>
      </c>
      <c r="E175" s="61" t="s">
        <v>966</v>
      </c>
      <c r="F175" s="61" t="s">
        <v>153</v>
      </c>
      <c r="G175" s="61" t="s">
        <v>142</v>
      </c>
      <c r="H175" s="61" t="s">
        <v>8</v>
      </c>
      <c r="I175" s="69"/>
      <c r="J175" s="61">
        <v>0</v>
      </c>
      <c r="K175" s="61"/>
      <c r="L175" s="61"/>
      <c r="M175" s="61" t="s">
        <v>230</v>
      </c>
      <c r="P175" s="70"/>
      <c r="S175" s="61">
        <f t="shared" si="13"/>
        <v>9</v>
      </c>
      <c r="T175" s="62"/>
      <c r="U175" s="61" t="s">
        <v>344</v>
      </c>
      <c r="V175" s="63" t="s">
        <v>965</v>
      </c>
      <c r="W175" s="61" t="s">
        <v>966</v>
      </c>
      <c r="X175" s="61" t="s">
        <v>153</v>
      </c>
      <c r="Y175" s="61" t="s">
        <v>142</v>
      </c>
      <c r="Z175" s="61" t="s">
        <v>8</v>
      </c>
      <c r="AA175" s="69"/>
      <c r="AB175" s="61">
        <v>0</v>
      </c>
      <c r="AC175" s="61"/>
      <c r="AD175" s="61"/>
      <c r="AE175" s="61" t="s">
        <v>230</v>
      </c>
    </row>
    <row r="176" s="2" customFormat="1" ht="22.5" hidden="1" outlineLevel="1" spans="1:31">
      <c r="A176" s="33">
        <f t="shared" ref="A176:A183" si="14">A175+1</f>
        <v>10</v>
      </c>
      <c r="B176" s="34"/>
      <c r="C176" s="33" t="s">
        <v>150</v>
      </c>
      <c r="D176" s="35" t="s">
        <v>151</v>
      </c>
      <c r="E176" s="36" t="s">
        <v>152</v>
      </c>
      <c r="F176" s="33" t="s">
        <v>153</v>
      </c>
      <c r="G176" s="33" t="s">
        <v>154</v>
      </c>
      <c r="H176" s="33" t="s">
        <v>8</v>
      </c>
      <c r="I176" s="45" t="s">
        <v>22</v>
      </c>
      <c r="J176" s="225" t="s">
        <v>155</v>
      </c>
      <c r="K176" s="33"/>
      <c r="L176" s="33"/>
      <c r="M176" s="33" t="s">
        <v>156</v>
      </c>
      <c r="P176" s="70"/>
      <c r="S176" s="33">
        <f t="shared" si="13"/>
        <v>10</v>
      </c>
      <c r="T176" s="34"/>
      <c r="U176" s="33" t="s">
        <v>150</v>
      </c>
      <c r="V176" s="35" t="s">
        <v>151</v>
      </c>
      <c r="W176" s="36" t="s">
        <v>152</v>
      </c>
      <c r="X176" s="33" t="s">
        <v>153</v>
      </c>
      <c r="Y176" s="33" t="s">
        <v>154</v>
      </c>
      <c r="Z176" s="33" t="s">
        <v>8</v>
      </c>
      <c r="AA176" s="45" t="s">
        <v>22</v>
      </c>
      <c r="AB176" s="225" t="s">
        <v>155</v>
      </c>
      <c r="AC176" s="33"/>
      <c r="AD176" s="33"/>
      <c r="AE176" s="33" t="s">
        <v>156</v>
      </c>
    </row>
    <row r="177" s="2" customFormat="1" hidden="1" outlineLevel="1" spans="1:31">
      <c r="A177" s="33">
        <f t="shared" si="14"/>
        <v>11</v>
      </c>
      <c r="B177" s="34"/>
      <c r="C177" s="33" t="s">
        <v>159</v>
      </c>
      <c r="D177" s="35" t="s">
        <v>160</v>
      </c>
      <c r="E177" s="33" t="s">
        <v>161</v>
      </c>
      <c r="F177" s="33" t="s">
        <v>153</v>
      </c>
      <c r="G177" s="33" t="s">
        <v>162</v>
      </c>
      <c r="H177" s="33"/>
      <c r="I177" s="45" t="s">
        <v>22</v>
      </c>
      <c r="J177" s="33">
        <v>0</v>
      </c>
      <c r="K177" s="33"/>
      <c r="L177" s="33"/>
      <c r="M177" s="33"/>
      <c r="P177" s="70"/>
      <c r="S177" s="33">
        <f t="shared" si="13"/>
        <v>11</v>
      </c>
      <c r="T177" s="34"/>
      <c r="U177" s="33" t="s">
        <v>159</v>
      </c>
      <c r="V177" s="35" t="s">
        <v>160</v>
      </c>
      <c r="W177" s="33" t="s">
        <v>161</v>
      </c>
      <c r="X177" s="33" t="s">
        <v>153</v>
      </c>
      <c r="Y177" s="33" t="s">
        <v>162</v>
      </c>
      <c r="Z177" s="33"/>
      <c r="AA177" s="45" t="s">
        <v>22</v>
      </c>
      <c r="AB177" s="33">
        <v>0</v>
      </c>
      <c r="AC177" s="33"/>
      <c r="AD177" s="33"/>
      <c r="AE177" s="33"/>
    </row>
    <row r="178" s="2" customFormat="1" hidden="1" outlineLevel="1" spans="1:31">
      <c r="A178" s="33">
        <f t="shared" si="14"/>
        <v>12</v>
      </c>
      <c r="B178" s="34"/>
      <c r="C178" s="33" t="s">
        <v>164</v>
      </c>
      <c r="D178" s="35" t="s">
        <v>165</v>
      </c>
      <c r="E178" s="33"/>
      <c r="F178" s="33" t="s">
        <v>141</v>
      </c>
      <c r="G178" s="33" t="s">
        <v>142</v>
      </c>
      <c r="H178" s="36">
        <v>32</v>
      </c>
      <c r="I178" s="45"/>
      <c r="J178" s="33"/>
      <c r="K178" s="33"/>
      <c r="L178" s="33"/>
      <c r="M178" s="33"/>
      <c r="P178" s="70"/>
      <c r="S178" s="33">
        <f t="shared" si="13"/>
        <v>12</v>
      </c>
      <c r="T178" s="34"/>
      <c r="U178" s="33" t="s">
        <v>164</v>
      </c>
      <c r="V178" s="35" t="s">
        <v>165</v>
      </c>
      <c r="W178" s="33"/>
      <c r="X178" s="33" t="s">
        <v>141</v>
      </c>
      <c r="Y178" s="33" t="s">
        <v>142</v>
      </c>
      <c r="Z178" s="36">
        <v>32</v>
      </c>
      <c r="AA178" s="45"/>
      <c r="AB178" s="33"/>
      <c r="AC178" s="33"/>
      <c r="AD178" s="33"/>
      <c r="AE178" s="33"/>
    </row>
    <row r="179" s="2" customFormat="1" hidden="1" outlineLevel="1" spans="1:31">
      <c r="A179" s="33">
        <f t="shared" si="14"/>
        <v>13</v>
      </c>
      <c r="B179" s="34"/>
      <c r="C179" s="33" t="s">
        <v>166</v>
      </c>
      <c r="D179" s="35" t="s">
        <v>167</v>
      </c>
      <c r="E179" s="33"/>
      <c r="F179" s="33" t="s">
        <v>153</v>
      </c>
      <c r="G179" s="33" t="s">
        <v>142</v>
      </c>
      <c r="H179" s="33">
        <v>32</v>
      </c>
      <c r="I179" s="45"/>
      <c r="J179" s="33"/>
      <c r="K179" s="33"/>
      <c r="L179" s="33"/>
      <c r="M179" s="33" t="s">
        <v>168</v>
      </c>
      <c r="P179" s="70"/>
      <c r="S179" s="33">
        <f t="shared" si="13"/>
        <v>13</v>
      </c>
      <c r="T179" s="34"/>
      <c r="U179" s="33" t="s">
        <v>166</v>
      </c>
      <c r="V179" s="35" t="s">
        <v>167</v>
      </c>
      <c r="W179" s="33"/>
      <c r="X179" s="33" t="s">
        <v>153</v>
      </c>
      <c r="Y179" s="33" t="s">
        <v>142</v>
      </c>
      <c r="Z179" s="33">
        <v>32</v>
      </c>
      <c r="AA179" s="45"/>
      <c r="AB179" s="33"/>
      <c r="AC179" s="33"/>
      <c r="AD179" s="33"/>
      <c r="AE179" s="33" t="s">
        <v>168</v>
      </c>
    </row>
    <row r="180" s="2" customFormat="1" hidden="1" outlineLevel="1" spans="1:31">
      <c r="A180" s="33">
        <f t="shared" si="14"/>
        <v>14</v>
      </c>
      <c r="B180" s="34"/>
      <c r="C180" s="33" t="s">
        <v>351</v>
      </c>
      <c r="D180" s="35" t="s">
        <v>171</v>
      </c>
      <c r="E180" s="33"/>
      <c r="F180" s="33" t="s">
        <v>172</v>
      </c>
      <c r="G180" s="33" t="s">
        <v>173</v>
      </c>
      <c r="H180" s="33" t="s">
        <v>8</v>
      </c>
      <c r="I180" s="45" t="s">
        <v>22</v>
      </c>
      <c r="J180" s="33"/>
      <c r="K180" s="33"/>
      <c r="L180" s="33"/>
      <c r="M180" s="33"/>
      <c r="P180" s="70"/>
      <c r="S180" s="33">
        <f t="shared" si="13"/>
        <v>14</v>
      </c>
      <c r="T180" s="34"/>
      <c r="U180" s="33" t="s">
        <v>351</v>
      </c>
      <c r="V180" s="35" t="s">
        <v>171</v>
      </c>
      <c r="W180" s="33"/>
      <c r="X180" s="33" t="s">
        <v>172</v>
      </c>
      <c r="Y180" s="33" t="s">
        <v>173</v>
      </c>
      <c r="Z180" s="33" t="s">
        <v>8</v>
      </c>
      <c r="AA180" s="45" t="s">
        <v>22</v>
      </c>
      <c r="AB180" s="33"/>
      <c r="AC180" s="33"/>
      <c r="AD180" s="33"/>
      <c r="AE180" s="33"/>
    </row>
    <row r="181" s="2" customFormat="1" hidden="1" outlineLevel="1" spans="1:31">
      <c r="A181" s="33">
        <f t="shared" si="14"/>
        <v>15</v>
      </c>
      <c r="B181" s="34"/>
      <c r="C181" s="36" t="s">
        <v>174</v>
      </c>
      <c r="D181" s="35" t="s">
        <v>175</v>
      </c>
      <c r="E181" s="33"/>
      <c r="F181" s="33" t="s">
        <v>141</v>
      </c>
      <c r="G181" s="33" t="s">
        <v>142</v>
      </c>
      <c r="H181" s="36">
        <v>32</v>
      </c>
      <c r="I181" s="45"/>
      <c r="J181" s="33"/>
      <c r="K181" s="33"/>
      <c r="L181" s="33"/>
      <c r="M181" s="33"/>
      <c r="P181" s="70"/>
      <c r="S181" s="33">
        <f t="shared" si="13"/>
        <v>15</v>
      </c>
      <c r="T181" s="34"/>
      <c r="U181" s="36" t="s">
        <v>174</v>
      </c>
      <c r="V181" s="35" t="s">
        <v>175</v>
      </c>
      <c r="W181" s="33"/>
      <c r="X181" s="33" t="s">
        <v>141</v>
      </c>
      <c r="Y181" s="33" t="s">
        <v>142</v>
      </c>
      <c r="Z181" s="36">
        <v>32</v>
      </c>
      <c r="AA181" s="45"/>
      <c r="AB181" s="33"/>
      <c r="AC181" s="33"/>
      <c r="AD181" s="33"/>
      <c r="AE181" s="33"/>
    </row>
    <row r="182" s="2" customFormat="1" ht="22.5" hidden="1" outlineLevel="1" spans="1:31">
      <c r="A182" s="33">
        <f t="shared" si="14"/>
        <v>16</v>
      </c>
      <c r="B182" s="34"/>
      <c r="C182" s="33" t="s">
        <v>176</v>
      </c>
      <c r="D182" s="35" t="s">
        <v>177</v>
      </c>
      <c r="E182" s="33" t="s">
        <v>178</v>
      </c>
      <c r="F182" s="33" t="s">
        <v>153</v>
      </c>
      <c r="G182" s="33" t="s">
        <v>142</v>
      </c>
      <c r="H182" s="33">
        <v>32</v>
      </c>
      <c r="I182" s="45"/>
      <c r="J182" s="33"/>
      <c r="K182" s="33"/>
      <c r="L182" s="33"/>
      <c r="M182" s="33" t="s">
        <v>179</v>
      </c>
      <c r="P182" s="70"/>
      <c r="S182" s="33">
        <f t="shared" si="13"/>
        <v>16</v>
      </c>
      <c r="T182" s="34"/>
      <c r="U182" s="33" t="s">
        <v>176</v>
      </c>
      <c r="V182" s="35" t="s">
        <v>177</v>
      </c>
      <c r="W182" s="33" t="s">
        <v>178</v>
      </c>
      <c r="X182" s="33" t="s">
        <v>153</v>
      </c>
      <c r="Y182" s="33" t="s">
        <v>142</v>
      </c>
      <c r="Z182" s="33">
        <v>32</v>
      </c>
      <c r="AA182" s="45"/>
      <c r="AB182" s="33"/>
      <c r="AC182" s="33"/>
      <c r="AD182" s="33"/>
      <c r="AE182" s="33" t="s">
        <v>179</v>
      </c>
    </row>
    <row r="183" s="2" customFormat="1" hidden="1" outlineLevel="1" spans="1:31">
      <c r="A183" s="33">
        <f t="shared" si="14"/>
        <v>17</v>
      </c>
      <c r="B183" s="34"/>
      <c r="C183" s="36" t="s">
        <v>353</v>
      </c>
      <c r="D183" s="35" t="s">
        <v>183</v>
      </c>
      <c r="E183" s="33"/>
      <c r="F183" s="33" t="s">
        <v>172</v>
      </c>
      <c r="G183" s="33" t="s">
        <v>173</v>
      </c>
      <c r="H183" s="33" t="s">
        <v>8</v>
      </c>
      <c r="I183" s="45" t="s">
        <v>22</v>
      </c>
      <c r="J183" s="33"/>
      <c r="K183" s="33"/>
      <c r="L183" s="33"/>
      <c r="M183" s="33"/>
      <c r="P183" s="70"/>
      <c r="S183" s="33">
        <f t="shared" si="13"/>
        <v>17</v>
      </c>
      <c r="T183" s="34"/>
      <c r="U183" s="36" t="s">
        <v>353</v>
      </c>
      <c r="V183" s="35" t="s">
        <v>183</v>
      </c>
      <c r="W183" s="33"/>
      <c r="X183" s="33" t="s">
        <v>172</v>
      </c>
      <c r="Y183" s="33" t="s">
        <v>173</v>
      </c>
      <c r="Z183" s="33" t="s">
        <v>8</v>
      </c>
      <c r="AA183" s="45" t="s">
        <v>22</v>
      </c>
      <c r="AB183" s="33"/>
      <c r="AC183" s="33"/>
      <c r="AD183" s="33"/>
      <c r="AE183" s="33"/>
    </row>
    <row r="184" hidden="1" outlineLevel="1"/>
    <row r="185" hidden="1" outlineLevel="1" spans="1:27">
      <c r="A185" s="6"/>
      <c r="B185" s="7" t="s">
        <v>15</v>
      </c>
      <c r="C185" s="8" t="s">
        <v>967</v>
      </c>
      <c r="D185" s="9"/>
      <c r="I185" s="37"/>
      <c r="S185" s="6"/>
      <c r="T185" s="7" t="s">
        <v>15</v>
      </c>
      <c r="U185" s="8" t="s">
        <v>967</v>
      </c>
      <c r="V185" s="9"/>
      <c r="AA185" s="37"/>
    </row>
    <row r="186" hidden="1" outlineLevel="1" spans="1:31">
      <c r="A186" s="10"/>
      <c r="B186" s="11" t="s">
        <v>124</v>
      </c>
      <c r="C186" s="8" t="e">
        <f>テーブル一覧!#REF!</f>
        <v>#REF!</v>
      </c>
      <c r="D186" s="9"/>
      <c r="E186" s="2" t="s">
        <v>968</v>
      </c>
      <c r="F186" s="3"/>
      <c r="G186" s="3"/>
      <c r="H186" s="3"/>
      <c r="I186" s="37"/>
      <c r="J186" s="3"/>
      <c r="K186" s="3"/>
      <c r="L186" s="3"/>
      <c r="M186" s="38"/>
      <c r="S186" s="10"/>
      <c r="T186" s="11" t="s">
        <v>124</v>
      </c>
      <c r="U186" s="8" t="e">
        <f>テーブル一覧!#REF!</f>
        <v>#REF!</v>
      </c>
      <c r="V186" s="9"/>
      <c r="W186" s="2" t="s">
        <v>968</v>
      </c>
      <c r="X186" s="3"/>
      <c r="Y186" s="3"/>
      <c r="Z186" s="3"/>
      <c r="AA186" s="37"/>
      <c r="AB186" s="3"/>
      <c r="AC186" s="3"/>
      <c r="AD186" s="3"/>
      <c r="AE186" s="38"/>
    </row>
    <row r="187" hidden="1" outlineLevel="1" spans="1:31">
      <c r="A187" s="12" t="s">
        <v>0</v>
      </c>
      <c r="B187" s="13"/>
      <c r="C187" s="14" t="s">
        <v>126</v>
      </c>
      <c r="D187" s="15" t="s">
        <v>15</v>
      </c>
      <c r="E187" s="14" t="s">
        <v>16</v>
      </c>
      <c r="F187" s="14" t="s">
        <v>127</v>
      </c>
      <c r="G187" s="14" t="s">
        <v>127</v>
      </c>
      <c r="H187" s="14" t="s">
        <v>128</v>
      </c>
      <c r="I187" s="39" t="s">
        <v>129</v>
      </c>
      <c r="J187" s="14" t="s">
        <v>130</v>
      </c>
      <c r="K187" s="14" t="s">
        <v>131</v>
      </c>
      <c r="L187" s="14" t="s">
        <v>132</v>
      </c>
      <c r="M187" s="14" t="s">
        <v>6</v>
      </c>
      <c r="S187" s="12" t="s">
        <v>0</v>
      </c>
      <c r="T187" s="13"/>
      <c r="U187" s="14" t="s">
        <v>126</v>
      </c>
      <c r="V187" s="15" t="s">
        <v>15</v>
      </c>
      <c r="W187" s="14" t="s">
        <v>16</v>
      </c>
      <c r="X187" s="14" t="s">
        <v>127</v>
      </c>
      <c r="Y187" s="14" t="s">
        <v>127</v>
      </c>
      <c r="Z187" s="14" t="s">
        <v>128</v>
      </c>
      <c r="AA187" s="39" t="s">
        <v>129</v>
      </c>
      <c r="AB187" s="14" t="s">
        <v>130</v>
      </c>
      <c r="AC187" s="14" t="s">
        <v>131</v>
      </c>
      <c r="AD187" s="14" t="s">
        <v>132</v>
      </c>
      <c r="AE187" s="14" t="s">
        <v>6</v>
      </c>
    </row>
    <row r="188" s="2" customFormat="1" hidden="1" outlineLevel="1" spans="1:31">
      <c r="A188" s="31">
        <v>1</v>
      </c>
      <c r="B188" s="59"/>
      <c r="C188" s="31" t="s">
        <v>969</v>
      </c>
      <c r="D188" s="87" t="s">
        <v>970</v>
      </c>
      <c r="E188" s="31"/>
      <c r="F188" s="31" t="s">
        <v>301</v>
      </c>
      <c r="G188" s="31" t="s">
        <v>142</v>
      </c>
      <c r="H188" s="31" t="s">
        <v>8</v>
      </c>
      <c r="I188" s="43" t="s">
        <v>22</v>
      </c>
      <c r="J188" s="31"/>
      <c r="K188" s="87" t="s">
        <v>303</v>
      </c>
      <c r="L188" s="31" t="s">
        <v>188</v>
      </c>
      <c r="M188" s="31"/>
      <c r="P188" s="70"/>
      <c r="S188" s="31">
        <v>1</v>
      </c>
      <c r="T188" s="59"/>
      <c r="U188" s="31" t="s">
        <v>969</v>
      </c>
      <c r="V188" s="87" t="s">
        <v>970</v>
      </c>
      <c r="W188" s="31"/>
      <c r="X188" s="31" t="s">
        <v>301</v>
      </c>
      <c r="Y188" s="31" t="s">
        <v>142</v>
      </c>
      <c r="Z188" s="31" t="s">
        <v>8</v>
      </c>
      <c r="AA188" s="43" t="s">
        <v>22</v>
      </c>
      <c r="AB188" s="31"/>
      <c r="AC188" s="87" t="s">
        <v>303</v>
      </c>
      <c r="AD188" s="31" t="s">
        <v>188</v>
      </c>
      <c r="AE188" s="31"/>
    </row>
    <row r="189" s="2" customFormat="1" hidden="1" outlineLevel="1" spans="1:31">
      <c r="A189" s="31">
        <f t="shared" ref="A189:A221" si="15">A188+1</f>
        <v>2</v>
      </c>
      <c r="B189" s="59"/>
      <c r="C189" s="31" t="s">
        <v>413</v>
      </c>
      <c r="D189" s="87" t="s">
        <v>414</v>
      </c>
      <c r="E189" s="31" t="s">
        <v>971</v>
      </c>
      <c r="F189" s="31" t="s">
        <v>301</v>
      </c>
      <c r="G189" s="31" t="s">
        <v>142</v>
      </c>
      <c r="H189" s="31" t="s">
        <v>8</v>
      </c>
      <c r="I189" s="43" t="s">
        <v>22</v>
      </c>
      <c r="J189" s="31"/>
      <c r="K189" s="31"/>
      <c r="L189" s="31" t="s">
        <v>216</v>
      </c>
      <c r="M189" s="31"/>
      <c r="P189" s="70"/>
      <c r="S189" s="31">
        <f t="shared" ref="S189:S221" si="16">S188+1</f>
        <v>2</v>
      </c>
      <c r="T189" s="59"/>
      <c r="U189" s="31" t="s">
        <v>413</v>
      </c>
      <c r="V189" s="87" t="s">
        <v>414</v>
      </c>
      <c r="W189" s="31" t="s">
        <v>971</v>
      </c>
      <c r="X189" s="31" t="s">
        <v>301</v>
      </c>
      <c r="Y189" s="31" t="s">
        <v>142</v>
      </c>
      <c r="Z189" s="31" t="s">
        <v>8</v>
      </c>
      <c r="AA189" s="43" t="s">
        <v>22</v>
      </c>
      <c r="AB189" s="31"/>
      <c r="AC189" s="31"/>
      <c r="AD189" s="31" t="s">
        <v>216</v>
      </c>
      <c r="AE189" s="31"/>
    </row>
    <row r="190" s="2" customFormat="1" hidden="1" outlineLevel="1" spans="1:31">
      <c r="A190" s="31">
        <f t="shared" si="15"/>
        <v>3</v>
      </c>
      <c r="B190" s="59"/>
      <c r="C190" s="31" t="s">
        <v>196</v>
      </c>
      <c r="D190" s="87" t="s">
        <v>197</v>
      </c>
      <c r="E190" s="31"/>
      <c r="F190" s="31" t="s">
        <v>141</v>
      </c>
      <c r="G190" s="31" t="s">
        <v>142</v>
      </c>
      <c r="H190" s="31">
        <v>32</v>
      </c>
      <c r="I190" s="43"/>
      <c r="J190" s="31"/>
      <c r="K190" s="31"/>
      <c r="L190" s="31"/>
      <c r="M190" s="31"/>
      <c r="P190" s="70"/>
      <c r="S190" s="31">
        <f t="shared" si="16"/>
        <v>3</v>
      </c>
      <c r="T190" s="59"/>
      <c r="U190" s="31" t="s">
        <v>196</v>
      </c>
      <c r="V190" s="87" t="s">
        <v>197</v>
      </c>
      <c r="W190" s="31"/>
      <c r="X190" s="31" t="s">
        <v>141</v>
      </c>
      <c r="Y190" s="31" t="s">
        <v>142</v>
      </c>
      <c r="Z190" s="31">
        <v>32</v>
      </c>
      <c r="AA190" s="43"/>
      <c r="AB190" s="31"/>
      <c r="AC190" s="31"/>
      <c r="AD190" s="31"/>
      <c r="AE190" s="31"/>
    </row>
    <row r="191" s="2" customFormat="1" ht="112.5" hidden="1" outlineLevel="1" spans="1:31">
      <c r="A191" s="61">
        <f t="shared" si="15"/>
        <v>4</v>
      </c>
      <c r="B191" s="62"/>
      <c r="C191" s="61" t="s">
        <v>972</v>
      </c>
      <c r="D191" s="63" t="s">
        <v>973</v>
      </c>
      <c r="E191" s="61" t="s">
        <v>974</v>
      </c>
      <c r="F191" s="61" t="s">
        <v>153</v>
      </c>
      <c r="G191" s="61" t="s">
        <v>142</v>
      </c>
      <c r="H191" s="61" t="s">
        <v>8</v>
      </c>
      <c r="I191" s="69" t="s">
        <v>22</v>
      </c>
      <c r="J191" s="61"/>
      <c r="K191" s="61"/>
      <c r="L191" s="61"/>
      <c r="M191" s="61" t="s">
        <v>230</v>
      </c>
      <c r="P191" s="70"/>
      <c r="S191" s="61">
        <f t="shared" si="16"/>
        <v>4</v>
      </c>
      <c r="T191" s="62"/>
      <c r="U191" s="61" t="s">
        <v>972</v>
      </c>
      <c r="V191" s="63" t="s">
        <v>973</v>
      </c>
      <c r="W191" s="61" t="s">
        <v>974</v>
      </c>
      <c r="X191" s="61" t="s">
        <v>153</v>
      </c>
      <c r="Y191" s="61" t="s">
        <v>142</v>
      </c>
      <c r="Z191" s="61" t="s">
        <v>8</v>
      </c>
      <c r="AA191" s="69" t="s">
        <v>22</v>
      </c>
      <c r="AB191" s="61"/>
      <c r="AC191" s="61"/>
      <c r="AD191" s="61"/>
      <c r="AE191" s="61" t="s">
        <v>230</v>
      </c>
    </row>
    <row r="192" s="2" customFormat="1" ht="78.75" hidden="1" outlineLevel="1" spans="1:31">
      <c r="A192" s="61">
        <f t="shared" si="15"/>
        <v>5</v>
      </c>
      <c r="B192" s="62"/>
      <c r="C192" s="61" t="s">
        <v>975</v>
      </c>
      <c r="D192" s="63" t="s">
        <v>976</v>
      </c>
      <c r="E192" s="61" t="s">
        <v>977</v>
      </c>
      <c r="F192" s="61" t="s">
        <v>153</v>
      </c>
      <c r="G192" s="61" t="s">
        <v>142</v>
      </c>
      <c r="H192" s="61" t="s">
        <v>8</v>
      </c>
      <c r="I192" s="69" t="s">
        <v>22</v>
      </c>
      <c r="J192" s="61">
        <v>0</v>
      </c>
      <c r="K192" s="61"/>
      <c r="L192" s="61"/>
      <c r="M192" s="61" t="s">
        <v>230</v>
      </c>
      <c r="P192" s="70"/>
      <c r="S192" s="61">
        <f t="shared" si="16"/>
        <v>5</v>
      </c>
      <c r="T192" s="62"/>
      <c r="U192" s="61" t="s">
        <v>975</v>
      </c>
      <c r="V192" s="63" t="s">
        <v>976</v>
      </c>
      <c r="W192" s="61" t="s">
        <v>977</v>
      </c>
      <c r="X192" s="61" t="s">
        <v>153</v>
      </c>
      <c r="Y192" s="61" t="s">
        <v>142</v>
      </c>
      <c r="Z192" s="61" t="s">
        <v>8</v>
      </c>
      <c r="AA192" s="69" t="s">
        <v>22</v>
      </c>
      <c r="AB192" s="61">
        <v>0</v>
      </c>
      <c r="AC192" s="61"/>
      <c r="AD192" s="61"/>
      <c r="AE192" s="61" t="s">
        <v>230</v>
      </c>
    </row>
    <row r="193" s="2" customFormat="1" ht="45" hidden="1" outlineLevel="1" spans="1:31">
      <c r="A193" s="110">
        <f t="shared" si="15"/>
        <v>6</v>
      </c>
      <c r="B193" s="111"/>
      <c r="C193" s="110" t="s">
        <v>863</v>
      </c>
      <c r="D193" s="112" t="s">
        <v>864</v>
      </c>
      <c r="E193" s="110" t="s">
        <v>865</v>
      </c>
      <c r="F193" s="110" t="s">
        <v>153</v>
      </c>
      <c r="G193" s="110" t="s">
        <v>142</v>
      </c>
      <c r="H193" s="110" t="s">
        <v>8</v>
      </c>
      <c r="I193" s="117"/>
      <c r="J193" s="110"/>
      <c r="K193" s="110"/>
      <c r="L193" s="110"/>
      <c r="M193" s="110" t="s">
        <v>866</v>
      </c>
      <c r="P193" s="70"/>
      <c r="S193" s="110">
        <f t="shared" si="16"/>
        <v>6</v>
      </c>
      <c r="T193" s="111"/>
      <c r="U193" s="110" t="s">
        <v>863</v>
      </c>
      <c r="V193" s="112" t="s">
        <v>864</v>
      </c>
      <c r="W193" s="110" t="s">
        <v>865</v>
      </c>
      <c r="X193" s="110" t="s">
        <v>153</v>
      </c>
      <c r="Y193" s="110" t="s">
        <v>142</v>
      </c>
      <c r="Z193" s="110" t="s">
        <v>8</v>
      </c>
      <c r="AA193" s="117"/>
      <c r="AB193" s="110"/>
      <c r="AC193" s="110"/>
      <c r="AD193" s="110"/>
      <c r="AE193" s="110" t="s">
        <v>866</v>
      </c>
    </row>
    <row r="194" s="2" customFormat="1" hidden="1" outlineLevel="1" spans="1:31">
      <c r="A194" s="31">
        <f t="shared" si="15"/>
        <v>7</v>
      </c>
      <c r="B194" s="62"/>
      <c r="C194" s="61" t="s">
        <v>622</v>
      </c>
      <c r="D194" s="63" t="s">
        <v>623</v>
      </c>
      <c r="E194" s="61"/>
      <c r="F194" s="61" t="s">
        <v>141</v>
      </c>
      <c r="G194" s="61" t="s">
        <v>142</v>
      </c>
      <c r="H194" s="61">
        <v>64</v>
      </c>
      <c r="I194" s="69"/>
      <c r="J194" s="61"/>
      <c r="K194" s="61"/>
      <c r="L194" s="61" t="s">
        <v>415</v>
      </c>
      <c r="M194" s="61" t="s">
        <v>230</v>
      </c>
      <c r="P194" s="70"/>
      <c r="S194" s="31">
        <f t="shared" si="16"/>
        <v>7</v>
      </c>
      <c r="T194" s="62"/>
      <c r="U194" s="61" t="s">
        <v>622</v>
      </c>
      <c r="V194" s="63" t="s">
        <v>623</v>
      </c>
      <c r="W194" s="61"/>
      <c r="X194" s="61" t="s">
        <v>141</v>
      </c>
      <c r="Y194" s="61" t="s">
        <v>142</v>
      </c>
      <c r="Z194" s="61">
        <v>64</v>
      </c>
      <c r="AA194" s="69"/>
      <c r="AB194" s="61"/>
      <c r="AC194" s="61"/>
      <c r="AD194" s="61" t="s">
        <v>415</v>
      </c>
      <c r="AE194" s="61" t="s">
        <v>230</v>
      </c>
    </row>
    <row r="195" s="2" customFormat="1" hidden="1" outlineLevel="1" spans="1:31">
      <c r="A195" s="31">
        <f t="shared" si="15"/>
        <v>8</v>
      </c>
      <c r="B195" s="62"/>
      <c r="C195" s="61" t="s">
        <v>978</v>
      </c>
      <c r="D195" s="63" t="s">
        <v>979</v>
      </c>
      <c r="E195" s="61"/>
      <c r="F195" s="61" t="s">
        <v>141</v>
      </c>
      <c r="G195" s="61" t="s">
        <v>142</v>
      </c>
      <c r="H195" s="61">
        <v>64</v>
      </c>
      <c r="I195" s="69"/>
      <c r="J195" s="61"/>
      <c r="K195" s="61"/>
      <c r="L195" s="61" t="s">
        <v>552</v>
      </c>
      <c r="M195" s="61" t="s">
        <v>230</v>
      </c>
      <c r="P195" s="70"/>
      <c r="S195" s="31">
        <f t="shared" si="16"/>
        <v>8</v>
      </c>
      <c r="T195" s="62"/>
      <c r="U195" s="61" t="s">
        <v>978</v>
      </c>
      <c r="V195" s="63" t="s">
        <v>979</v>
      </c>
      <c r="W195" s="61"/>
      <c r="X195" s="61" t="s">
        <v>141</v>
      </c>
      <c r="Y195" s="61" t="s">
        <v>142</v>
      </c>
      <c r="Z195" s="61">
        <v>64</v>
      </c>
      <c r="AA195" s="69"/>
      <c r="AB195" s="61"/>
      <c r="AC195" s="61"/>
      <c r="AD195" s="61" t="s">
        <v>552</v>
      </c>
      <c r="AE195" s="61" t="s">
        <v>230</v>
      </c>
    </row>
    <row r="196" s="2" customFormat="1" hidden="1" outlineLevel="1" spans="1:31">
      <c r="A196" s="31">
        <f t="shared" si="15"/>
        <v>9</v>
      </c>
      <c r="B196" s="62"/>
      <c r="C196" s="61" t="s">
        <v>980</v>
      </c>
      <c r="D196" s="63" t="s">
        <v>981</v>
      </c>
      <c r="E196" s="61"/>
      <c r="F196" s="61" t="s">
        <v>141</v>
      </c>
      <c r="G196" s="61" t="s">
        <v>142</v>
      </c>
      <c r="H196" s="61">
        <v>64</v>
      </c>
      <c r="I196" s="69"/>
      <c r="J196" s="61"/>
      <c r="K196" s="61"/>
      <c r="L196" s="61"/>
      <c r="M196" s="61" t="s">
        <v>230</v>
      </c>
      <c r="P196" s="70"/>
      <c r="S196" s="31">
        <f t="shared" si="16"/>
        <v>9</v>
      </c>
      <c r="T196" s="62"/>
      <c r="U196" s="61" t="s">
        <v>980</v>
      </c>
      <c r="V196" s="63" t="s">
        <v>981</v>
      </c>
      <c r="W196" s="61"/>
      <c r="X196" s="61" t="s">
        <v>141</v>
      </c>
      <c r="Y196" s="61" t="s">
        <v>142</v>
      </c>
      <c r="Z196" s="61">
        <v>64</v>
      </c>
      <c r="AA196" s="69"/>
      <c r="AB196" s="61"/>
      <c r="AC196" s="61"/>
      <c r="AD196" s="61"/>
      <c r="AE196" s="61" t="s">
        <v>230</v>
      </c>
    </row>
    <row r="197" s="2" customFormat="1" hidden="1" outlineLevel="1" spans="1:31">
      <c r="A197" s="31">
        <f t="shared" si="15"/>
        <v>10</v>
      </c>
      <c r="B197" s="62"/>
      <c r="C197" s="61" t="s">
        <v>982</v>
      </c>
      <c r="D197" s="63" t="s">
        <v>983</v>
      </c>
      <c r="E197" s="61"/>
      <c r="F197" s="61" t="s">
        <v>172</v>
      </c>
      <c r="G197" s="61" t="s">
        <v>142</v>
      </c>
      <c r="H197" s="61" t="s">
        <v>8</v>
      </c>
      <c r="I197" s="69"/>
      <c r="J197" s="61"/>
      <c r="K197" s="61"/>
      <c r="L197" s="61" t="s">
        <v>418</v>
      </c>
      <c r="M197" s="61" t="s">
        <v>230</v>
      </c>
      <c r="P197" s="70"/>
      <c r="S197" s="31">
        <f t="shared" si="16"/>
        <v>10</v>
      </c>
      <c r="T197" s="62"/>
      <c r="U197" s="61" t="s">
        <v>982</v>
      </c>
      <c r="V197" s="63" t="s">
        <v>983</v>
      </c>
      <c r="W197" s="61"/>
      <c r="X197" s="61" t="s">
        <v>172</v>
      </c>
      <c r="Y197" s="61" t="s">
        <v>142</v>
      </c>
      <c r="Z197" s="61" t="s">
        <v>8</v>
      </c>
      <c r="AA197" s="69"/>
      <c r="AB197" s="61"/>
      <c r="AC197" s="61"/>
      <c r="AD197" s="61" t="s">
        <v>418</v>
      </c>
      <c r="AE197" s="61" t="s">
        <v>230</v>
      </c>
    </row>
    <row r="198" s="2" customFormat="1" ht="22.5" hidden="1" outlineLevel="1" spans="1:31">
      <c r="A198" s="110">
        <f t="shared" si="15"/>
        <v>11</v>
      </c>
      <c r="B198" s="111"/>
      <c r="C198" s="110" t="s">
        <v>871</v>
      </c>
      <c r="D198" s="112" t="s">
        <v>984</v>
      </c>
      <c r="E198" s="110" t="s">
        <v>985</v>
      </c>
      <c r="F198" s="110" t="s">
        <v>627</v>
      </c>
      <c r="G198" s="110" t="s">
        <v>142</v>
      </c>
      <c r="H198" s="110" t="s">
        <v>8</v>
      </c>
      <c r="I198" s="117"/>
      <c r="J198" s="110"/>
      <c r="K198" s="110"/>
      <c r="L198" s="110"/>
      <c r="M198" s="110"/>
      <c r="P198" s="70"/>
      <c r="S198" s="110">
        <f t="shared" si="16"/>
        <v>11</v>
      </c>
      <c r="T198" s="111"/>
      <c r="U198" s="110" t="s">
        <v>871</v>
      </c>
      <c r="V198" s="112" t="s">
        <v>984</v>
      </c>
      <c r="W198" s="110" t="s">
        <v>985</v>
      </c>
      <c r="X198" s="110" t="s">
        <v>627</v>
      </c>
      <c r="Y198" s="110" t="s">
        <v>142</v>
      </c>
      <c r="Z198" s="110" t="s">
        <v>8</v>
      </c>
      <c r="AA198" s="117"/>
      <c r="AB198" s="110"/>
      <c r="AC198" s="110"/>
      <c r="AD198" s="110"/>
      <c r="AE198" s="110"/>
    </row>
    <row r="199" s="2" customFormat="1" ht="33.75" hidden="1" outlineLevel="1" spans="1:31">
      <c r="A199" s="110">
        <f t="shared" si="15"/>
        <v>12</v>
      </c>
      <c r="B199" s="111"/>
      <c r="C199" s="110" t="s">
        <v>875</v>
      </c>
      <c r="D199" s="112" t="s">
        <v>876</v>
      </c>
      <c r="E199" s="110" t="s">
        <v>986</v>
      </c>
      <c r="F199" s="110" t="s">
        <v>627</v>
      </c>
      <c r="G199" s="110" t="s">
        <v>142</v>
      </c>
      <c r="H199" s="110" t="s">
        <v>8</v>
      </c>
      <c r="I199" s="117"/>
      <c r="J199" s="110"/>
      <c r="K199" s="110"/>
      <c r="L199" s="110"/>
      <c r="M199" s="110"/>
      <c r="P199" s="70"/>
      <c r="S199" s="110">
        <f t="shared" si="16"/>
        <v>12</v>
      </c>
      <c r="T199" s="111"/>
      <c r="U199" s="110" t="s">
        <v>875</v>
      </c>
      <c r="V199" s="112" t="s">
        <v>876</v>
      </c>
      <c r="W199" s="110" t="s">
        <v>986</v>
      </c>
      <c r="X199" s="110" t="s">
        <v>627</v>
      </c>
      <c r="Y199" s="110" t="s">
        <v>142</v>
      </c>
      <c r="Z199" s="110" t="s">
        <v>8</v>
      </c>
      <c r="AA199" s="117"/>
      <c r="AB199" s="110"/>
      <c r="AC199" s="110"/>
      <c r="AD199" s="110"/>
      <c r="AE199" s="110"/>
    </row>
    <row r="200" s="2" customFormat="1" hidden="1" outlineLevel="1" spans="1:31">
      <c r="A200" s="110">
        <f t="shared" si="15"/>
        <v>13</v>
      </c>
      <c r="B200" s="111"/>
      <c r="C200" s="110" t="s">
        <v>878</v>
      </c>
      <c r="D200" s="112" t="s">
        <v>879</v>
      </c>
      <c r="E200" s="110"/>
      <c r="F200" s="110" t="s">
        <v>141</v>
      </c>
      <c r="G200" s="110" t="s">
        <v>142</v>
      </c>
      <c r="H200" s="110">
        <v>32</v>
      </c>
      <c r="I200" s="117"/>
      <c r="J200" s="110"/>
      <c r="K200" s="110"/>
      <c r="L200" s="110"/>
      <c r="M200" s="110"/>
      <c r="P200" s="70"/>
      <c r="S200" s="110">
        <f t="shared" si="16"/>
        <v>13</v>
      </c>
      <c r="T200" s="111"/>
      <c r="U200" s="110" t="s">
        <v>878</v>
      </c>
      <c r="V200" s="112" t="s">
        <v>879</v>
      </c>
      <c r="W200" s="110"/>
      <c r="X200" s="110" t="s">
        <v>141</v>
      </c>
      <c r="Y200" s="110" t="s">
        <v>142</v>
      </c>
      <c r="Z200" s="110">
        <v>32</v>
      </c>
      <c r="AA200" s="117"/>
      <c r="AB200" s="110"/>
      <c r="AC200" s="110"/>
      <c r="AD200" s="110"/>
      <c r="AE200" s="110"/>
    </row>
    <row r="201" s="2" customFormat="1" hidden="1" outlineLevel="1" spans="1:31">
      <c r="A201" s="31">
        <f t="shared" si="15"/>
        <v>14</v>
      </c>
      <c r="B201" s="62"/>
      <c r="C201" s="61" t="s">
        <v>987</v>
      </c>
      <c r="D201" s="63" t="s">
        <v>988</v>
      </c>
      <c r="E201" s="61" t="s">
        <v>989</v>
      </c>
      <c r="F201" s="61" t="s">
        <v>141</v>
      </c>
      <c r="G201" s="61" t="s">
        <v>142</v>
      </c>
      <c r="H201" s="61">
        <v>128</v>
      </c>
      <c r="I201" s="69"/>
      <c r="J201" s="61"/>
      <c r="K201" s="61"/>
      <c r="L201" s="61"/>
      <c r="M201" s="61" t="s">
        <v>230</v>
      </c>
      <c r="P201" s="70"/>
      <c r="S201" s="31">
        <f t="shared" si="16"/>
        <v>14</v>
      </c>
      <c r="T201" s="62"/>
      <c r="U201" s="61" t="s">
        <v>987</v>
      </c>
      <c r="V201" s="63" t="s">
        <v>988</v>
      </c>
      <c r="W201" s="61" t="s">
        <v>989</v>
      </c>
      <c r="X201" s="61" t="s">
        <v>141</v>
      </c>
      <c r="Y201" s="61" t="s">
        <v>142</v>
      </c>
      <c r="Z201" s="61">
        <v>128</v>
      </c>
      <c r="AA201" s="69"/>
      <c r="AB201" s="61"/>
      <c r="AC201" s="61"/>
      <c r="AD201" s="61"/>
      <c r="AE201" s="61" t="s">
        <v>230</v>
      </c>
    </row>
    <row r="202" s="2" customFormat="1" hidden="1" outlineLevel="1" spans="1:31">
      <c r="A202" s="31">
        <f t="shared" si="15"/>
        <v>15</v>
      </c>
      <c r="B202" s="62"/>
      <c r="C202" s="61" t="s">
        <v>990</v>
      </c>
      <c r="D202" s="63" t="s">
        <v>991</v>
      </c>
      <c r="E202" s="61"/>
      <c r="F202" s="61" t="s">
        <v>141</v>
      </c>
      <c r="G202" s="61" t="s">
        <v>142</v>
      </c>
      <c r="H202" s="61">
        <v>256</v>
      </c>
      <c r="I202" s="69"/>
      <c r="J202" s="61"/>
      <c r="K202" s="61"/>
      <c r="L202" s="61"/>
      <c r="M202" s="61" t="s">
        <v>230</v>
      </c>
      <c r="P202" s="70"/>
      <c r="S202" s="31">
        <f t="shared" si="16"/>
        <v>15</v>
      </c>
      <c r="T202" s="62"/>
      <c r="U202" s="61" t="s">
        <v>990</v>
      </c>
      <c r="V202" s="63" t="s">
        <v>991</v>
      </c>
      <c r="W202" s="61"/>
      <c r="X202" s="61" t="s">
        <v>141</v>
      </c>
      <c r="Y202" s="61" t="s">
        <v>142</v>
      </c>
      <c r="Z202" s="61">
        <v>256</v>
      </c>
      <c r="AA202" s="69"/>
      <c r="AB202" s="61"/>
      <c r="AC202" s="61"/>
      <c r="AD202" s="61"/>
      <c r="AE202" s="61" t="s">
        <v>230</v>
      </c>
    </row>
    <row r="203" s="2" customFormat="1" hidden="1" outlineLevel="1" spans="1:31">
      <c r="A203" s="110">
        <f t="shared" si="15"/>
        <v>16</v>
      </c>
      <c r="B203" s="111"/>
      <c r="C203" s="110" t="s">
        <v>881</v>
      </c>
      <c r="D203" s="112" t="s">
        <v>882</v>
      </c>
      <c r="E203" s="110"/>
      <c r="F203" s="110" t="s">
        <v>172</v>
      </c>
      <c r="G203" s="110" t="s">
        <v>142</v>
      </c>
      <c r="H203" s="110" t="s">
        <v>8</v>
      </c>
      <c r="I203" s="117"/>
      <c r="J203" s="110"/>
      <c r="K203" s="110"/>
      <c r="L203" s="110"/>
      <c r="M203" s="110"/>
      <c r="P203" s="70"/>
      <c r="S203" s="110">
        <f t="shared" si="16"/>
        <v>16</v>
      </c>
      <c r="T203" s="111"/>
      <c r="U203" s="110" t="s">
        <v>881</v>
      </c>
      <c r="V203" s="112" t="s">
        <v>882</v>
      </c>
      <c r="W203" s="110"/>
      <c r="X203" s="110" t="s">
        <v>172</v>
      </c>
      <c r="Y203" s="110" t="s">
        <v>142</v>
      </c>
      <c r="Z203" s="110" t="s">
        <v>8</v>
      </c>
      <c r="AA203" s="117"/>
      <c r="AB203" s="110"/>
      <c r="AC203" s="110"/>
      <c r="AD203" s="110"/>
      <c r="AE203" s="110"/>
    </row>
    <row r="204" s="2" customFormat="1" hidden="1" outlineLevel="1" spans="1:31">
      <c r="A204" s="31">
        <f t="shared" si="15"/>
        <v>17</v>
      </c>
      <c r="B204" s="62"/>
      <c r="C204" s="61" t="s">
        <v>992</v>
      </c>
      <c r="D204" s="63" t="s">
        <v>993</v>
      </c>
      <c r="E204" s="61"/>
      <c r="F204" s="61" t="s">
        <v>141</v>
      </c>
      <c r="G204" s="61" t="s">
        <v>142</v>
      </c>
      <c r="H204" s="61">
        <v>4</v>
      </c>
      <c r="I204" s="69"/>
      <c r="J204" s="61"/>
      <c r="K204" s="61"/>
      <c r="L204" s="61"/>
      <c r="M204" s="61" t="s">
        <v>230</v>
      </c>
      <c r="P204" s="70"/>
      <c r="S204" s="31">
        <f t="shared" si="16"/>
        <v>17</v>
      </c>
      <c r="T204" s="62"/>
      <c r="U204" s="61" t="s">
        <v>992</v>
      </c>
      <c r="V204" s="63" t="s">
        <v>993</v>
      </c>
      <c r="W204" s="61"/>
      <c r="X204" s="61" t="s">
        <v>141</v>
      </c>
      <c r="Y204" s="61" t="s">
        <v>142</v>
      </c>
      <c r="Z204" s="61">
        <v>4</v>
      </c>
      <c r="AA204" s="69"/>
      <c r="AB204" s="61"/>
      <c r="AC204" s="61"/>
      <c r="AD204" s="61"/>
      <c r="AE204" s="61" t="s">
        <v>230</v>
      </c>
    </row>
    <row r="205" s="2" customFormat="1" hidden="1" outlineLevel="1" spans="1:31">
      <c r="A205" s="31">
        <f t="shared" si="15"/>
        <v>18</v>
      </c>
      <c r="B205" s="62"/>
      <c r="C205" s="61" t="s">
        <v>994</v>
      </c>
      <c r="D205" s="63" t="s">
        <v>995</v>
      </c>
      <c r="E205" s="61"/>
      <c r="F205" s="61" t="s">
        <v>141</v>
      </c>
      <c r="G205" s="61" t="s">
        <v>142</v>
      </c>
      <c r="H205" s="61">
        <v>8</v>
      </c>
      <c r="I205" s="69"/>
      <c r="J205" s="61"/>
      <c r="K205" s="61"/>
      <c r="L205" s="61"/>
      <c r="M205" s="61" t="s">
        <v>230</v>
      </c>
      <c r="P205" s="70"/>
      <c r="S205" s="31">
        <f t="shared" si="16"/>
        <v>18</v>
      </c>
      <c r="T205" s="62"/>
      <c r="U205" s="61" t="s">
        <v>994</v>
      </c>
      <c r="V205" s="63" t="s">
        <v>995</v>
      </c>
      <c r="W205" s="61"/>
      <c r="X205" s="61" t="s">
        <v>141</v>
      </c>
      <c r="Y205" s="61" t="s">
        <v>142</v>
      </c>
      <c r="Z205" s="61">
        <v>8</v>
      </c>
      <c r="AA205" s="69"/>
      <c r="AB205" s="61"/>
      <c r="AC205" s="61"/>
      <c r="AD205" s="61"/>
      <c r="AE205" s="61" t="s">
        <v>230</v>
      </c>
    </row>
    <row r="206" s="2" customFormat="1" hidden="1" outlineLevel="1" spans="1:31">
      <c r="A206" s="31">
        <f t="shared" si="15"/>
        <v>19</v>
      </c>
      <c r="B206" s="62"/>
      <c r="C206" s="61" t="s">
        <v>996</v>
      </c>
      <c r="D206" s="63" t="s">
        <v>997</v>
      </c>
      <c r="E206" s="61"/>
      <c r="F206" s="61" t="s">
        <v>153</v>
      </c>
      <c r="G206" s="61" t="s">
        <v>142</v>
      </c>
      <c r="H206" s="61" t="s">
        <v>8</v>
      </c>
      <c r="I206" s="69"/>
      <c r="J206" s="61">
        <v>0</v>
      </c>
      <c r="K206" s="61"/>
      <c r="L206" s="61"/>
      <c r="M206" s="61" t="s">
        <v>230</v>
      </c>
      <c r="P206" s="70"/>
      <c r="S206" s="31">
        <f t="shared" si="16"/>
        <v>19</v>
      </c>
      <c r="T206" s="62"/>
      <c r="U206" s="61" t="s">
        <v>996</v>
      </c>
      <c r="V206" s="63" t="s">
        <v>997</v>
      </c>
      <c r="W206" s="61"/>
      <c r="X206" s="61" t="s">
        <v>153</v>
      </c>
      <c r="Y206" s="61" t="s">
        <v>142</v>
      </c>
      <c r="Z206" s="61" t="s">
        <v>8</v>
      </c>
      <c r="AA206" s="69"/>
      <c r="AB206" s="61">
        <v>0</v>
      </c>
      <c r="AC206" s="61"/>
      <c r="AD206" s="61"/>
      <c r="AE206" s="61" t="s">
        <v>230</v>
      </c>
    </row>
    <row r="207" s="2" customFormat="1" hidden="1" outlineLevel="1" spans="1:31">
      <c r="A207" s="31">
        <f t="shared" si="15"/>
        <v>20</v>
      </c>
      <c r="B207" s="62"/>
      <c r="C207" s="61" t="s">
        <v>998</v>
      </c>
      <c r="D207" s="63" t="s">
        <v>999</v>
      </c>
      <c r="E207" s="61"/>
      <c r="F207" s="61" t="s">
        <v>172</v>
      </c>
      <c r="G207" s="61" t="s">
        <v>142</v>
      </c>
      <c r="H207" s="61" t="s">
        <v>8</v>
      </c>
      <c r="I207" s="69"/>
      <c r="J207" s="61"/>
      <c r="K207" s="61"/>
      <c r="L207" s="61"/>
      <c r="M207" s="61" t="s">
        <v>230</v>
      </c>
      <c r="P207" s="70"/>
      <c r="S207" s="31">
        <f t="shared" si="16"/>
        <v>20</v>
      </c>
      <c r="T207" s="62"/>
      <c r="U207" s="61" t="s">
        <v>998</v>
      </c>
      <c r="V207" s="63" t="s">
        <v>999</v>
      </c>
      <c r="W207" s="61"/>
      <c r="X207" s="61" t="s">
        <v>172</v>
      </c>
      <c r="Y207" s="61" t="s">
        <v>142</v>
      </c>
      <c r="Z207" s="61" t="s">
        <v>8</v>
      </c>
      <c r="AA207" s="69"/>
      <c r="AB207" s="61"/>
      <c r="AC207" s="61"/>
      <c r="AD207" s="61"/>
      <c r="AE207" s="61" t="s">
        <v>230</v>
      </c>
    </row>
    <row r="208" s="2" customFormat="1" hidden="1" outlineLevel="1" spans="1:31">
      <c r="A208" s="31">
        <f t="shared" si="15"/>
        <v>21</v>
      </c>
      <c r="B208" s="62"/>
      <c r="C208" s="61" t="s">
        <v>1000</v>
      </c>
      <c r="D208" s="63" t="s">
        <v>1001</v>
      </c>
      <c r="E208" s="61"/>
      <c r="F208" s="61" t="s">
        <v>141</v>
      </c>
      <c r="G208" s="61" t="s">
        <v>142</v>
      </c>
      <c r="H208" s="61">
        <v>8</v>
      </c>
      <c r="I208" s="69"/>
      <c r="J208" s="61"/>
      <c r="K208" s="61"/>
      <c r="L208" s="61"/>
      <c r="M208" s="61" t="s">
        <v>230</v>
      </c>
      <c r="P208" s="70"/>
      <c r="S208" s="31">
        <f t="shared" si="16"/>
        <v>21</v>
      </c>
      <c r="T208" s="62"/>
      <c r="U208" s="61" t="s">
        <v>1000</v>
      </c>
      <c r="V208" s="63" t="s">
        <v>1001</v>
      </c>
      <c r="W208" s="61"/>
      <c r="X208" s="61" t="s">
        <v>141</v>
      </c>
      <c r="Y208" s="61" t="s">
        <v>142</v>
      </c>
      <c r="Z208" s="61">
        <v>8</v>
      </c>
      <c r="AA208" s="69"/>
      <c r="AB208" s="61"/>
      <c r="AC208" s="61"/>
      <c r="AD208" s="61"/>
      <c r="AE208" s="61" t="s">
        <v>230</v>
      </c>
    </row>
    <row r="209" s="2" customFormat="1" hidden="1" outlineLevel="1" spans="1:31">
      <c r="A209" s="31">
        <f t="shared" si="15"/>
        <v>22</v>
      </c>
      <c r="B209" s="62"/>
      <c r="C209" s="61" t="s">
        <v>1002</v>
      </c>
      <c r="D209" s="63" t="s">
        <v>1003</v>
      </c>
      <c r="E209" s="61"/>
      <c r="F209" s="61" t="s">
        <v>141</v>
      </c>
      <c r="G209" s="61" t="s">
        <v>142</v>
      </c>
      <c r="H209" s="61">
        <v>10</v>
      </c>
      <c r="I209" s="69"/>
      <c r="J209" s="61"/>
      <c r="K209" s="61"/>
      <c r="L209" s="61"/>
      <c r="M209" s="61" t="s">
        <v>230</v>
      </c>
      <c r="P209" s="70"/>
      <c r="S209" s="31">
        <f t="shared" si="16"/>
        <v>22</v>
      </c>
      <c r="T209" s="62"/>
      <c r="U209" s="61" t="s">
        <v>1002</v>
      </c>
      <c r="V209" s="63" t="s">
        <v>1003</v>
      </c>
      <c r="W209" s="61"/>
      <c r="X209" s="61" t="s">
        <v>141</v>
      </c>
      <c r="Y209" s="61" t="s">
        <v>142</v>
      </c>
      <c r="Z209" s="61">
        <v>10</v>
      </c>
      <c r="AA209" s="69"/>
      <c r="AB209" s="61"/>
      <c r="AC209" s="61"/>
      <c r="AD209" s="61"/>
      <c r="AE209" s="61" t="s">
        <v>230</v>
      </c>
    </row>
    <row r="210" s="2" customFormat="1" hidden="1" outlineLevel="1" spans="1:31">
      <c r="A210" s="31">
        <f t="shared" si="15"/>
        <v>23</v>
      </c>
      <c r="B210" s="62"/>
      <c r="C210" s="61" t="s">
        <v>1004</v>
      </c>
      <c r="D210" s="63" t="s">
        <v>1005</v>
      </c>
      <c r="E210" s="61"/>
      <c r="F210" s="61" t="s">
        <v>141</v>
      </c>
      <c r="G210" s="61" t="s">
        <v>142</v>
      </c>
      <c r="H210" s="61">
        <v>2</v>
      </c>
      <c r="I210" s="69"/>
      <c r="J210" s="61"/>
      <c r="K210" s="61"/>
      <c r="L210" s="61"/>
      <c r="M210" s="61" t="s">
        <v>230</v>
      </c>
      <c r="P210" s="70"/>
      <c r="S210" s="31">
        <f t="shared" si="16"/>
        <v>23</v>
      </c>
      <c r="T210" s="62"/>
      <c r="U210" s="61" t="s">
        <v>1004</v>
      </c>
      <c r="V210" s="63" t="s">
        <v>1005</v>
      </c>
      <c r="W210" s="61"/>
      <c r="X210" s="61" t="s">
        <v>141</v>
      </c>
      <c r="Y210" s="61" t="s">
        <v>142</v>
      </c>
      <c r="Z210" s="61">
        <v>2</v>
      </c>
      <c r="AA210" s="69"/>
      <c r="AB210" s="61"/>
      <c r="AC210" s="61"/>
      <c r="AD210" s="61"/>
      <c r="AE210" s="61" t="s">
        <v>230</v>
      </c>
    </row>
    <row r="211" s="2" customFormat="1" hidden="1" outlineLevel="1" spans="1:31">
      <c r="A211" s="31">
        <f t="shared" si="15"/>
        <v>24</v>
      </c>
      <c r="B211" s="62"/>
      <c r="C211" s="61" t="s">
        <v>1006</v>
      </c>
      <c r="D211" s="63" t="s">
        <v>1007</v>
      </c>
      <c r="E211" s="61"/>
      <c r="F211" s="61" t="s">
        <v>141</v>
      </c>
      <c r="G211" s="61" t="s">
        <v>142</v>
      </c>
      <c r="H211" s="61">
        <v>4</v>
      </c>
      <c r="I211" s="69"/>
      <c r="J211" s="61"/>
      <c r="K211" s="61"/>
      <c r="L211" s="61"/>
      <c r="M211" s="61" t="s">
        <v>230</v>
      </c>
      <c r="P211" s="70"/>
      <c r="S211" s="31">
        <f t="shared" si="16"/>
        <v>24</v>
      </c>
      <c r="T211" s="62"/>
      <c r="U211" s="61" t="s">
        <v>1006</v>
      </c>
      <c r="V211" s="63" t="s">
        <v>1007</v>
      </c>
      <c r="W211" s="61"/>
      <c r="X211" s="61" t="s">
        <v>141</v>
      </c>
      <c r="Y211" s="61" t="s">
        <v>142</v>
      </c>
      <c r="Z211" s="61">
        <v>4</v>
      </c>
      <c r="AA211" s="69"/>
      <c r="AB211" s="61"/>
      <c r="AC211" s="61"/>
      <c r="AD211" s="61"/>
      <c r="AE211" s="61" t="s">
        <v>230</v>
      </c>
    </row>
    <row r="212" s="2" customFormat="1" hidden="1" outlineLevel="1" spans="1:31">
      <c r="A212" s="31">
        <f t="shared" si="15"/>
        <v>25</v>
      </c>
      <c r="B212" s="62"/>
      <c r="C212" s="61" t="s">
        <v>1008</v>
      </c>
      <c r="D212" s="63" t="s">
        <v>1009</v>
      </c>
      <c r="E212" s="61"/>
      <c r="F212" s="61" t="s">
        <v>141</v>
      </c>
      <c r="G212" s="61" t="s">
        <v>142</v>
      </c>
      <c r="H212" s="61">
        <v>32</v>
      </c>
      <c r="I212" s="69"/>
      <c r="J212" s="61"/>
      <c r="K212" s="61"/>
      <c r="L212" s="61"/>
      <c r="M212" s="61" t="s">
        <v>230</v>
      </c>
      <c r="P212" s="70"/>
      <c r="S212" s="31">
        <f t="shared" si="16"/>
        <v>25</v>
      </c>
      <c r="T212" s="62"/>
      <c r="U212" s="61" t="s">
        <v>1008</v>
      </c>
      <c r="V212" s="63" t="s">
        <v>1009</v>
      </c>
      <c r="W212" s="61"/>
      <c r="X212" s="61" t="s">
        <v>141</v>
      </c>
      <c r="Y212" s="61" t="s">
        <v>142</v>
      </c>
      <c r="Z212" s="61">
        <v>32</v>
      </c>
      <c r="AA212" s="69"/>
      <c r="AB212" s="61"/>
      <c r="AC212" s="61"/>
      <c r="AD212" s="61"/>
      <c r="AE212" s="61" t="s">
        <v>230</v>
      </c>
    </row>
    <row r="213" s="2" customFormat="1" hidden="1" outlineLevel="1" spans="1:31">
      <c r="A213" s="31">
        <f t="shared" si="15"/>
        <v>26</v>
      </c>
      <c r="B213" s="59"/>
      <c r="C213" s="31" t="s">
        <v>149</v>
      </c>
      <c r="D213" s="87" t="s">
        <v>6</v>
      </c>
      <c r="E213" s="31"/>
      <c r="F213" s="31" t="s">
        <v>141</v>
      </c>
      <c r="G213" s="31" t="s">
        <v>142</v>
      </c>
      <c r="H213" s="31">
        <v>256</v>
      </c>
      <c r="I213" s="43"/>
      <c r="J213" s="31"/>
      <c r="K213" s="31"/>
      <c r="L213" s="31"/>
      <c r="M213" s="31"/>
      <c r="P213" s="70"/>
      <c r="S213" s="31">
        <f t="shared" si="16"/>
        <v>26</v>
      </c>
      <c r="T213" s="59"/>
      <c r="U213" s="31" t="s">
        <v>149</v>
      </c>
      <c r="V213" s="87" t="s">
        <v>6</v>
      </c>
      <c r="W213" s="31"/>
      <c r="X213" s="31" t="s">
        <v>141</v>
      </c>
      <c r="Y213" s="31" t="s">
        <v>142</v>
      </c>
      <c r="Z213" s="31">
        <v>256</v>
      </c>
      <c r="AA213" s="43"/>
      <c r="AB213" s="31"/>
      <c r="AC213" s="31"/>
      <c r="AD213" s="31"/>
      <c r="AE213" s="31"/>
    </row>
    <row r="214" s="2" customFormat="1" ht="22.5" hidden="1" outlineLevel="1" spans="1:31">
      <c r="A214" s="33">
        <f t="shared" si="15"/>
        <v>27</v>
      </c>
      <c r="B214" s="34"/>
      <c r="C214" s="33" t="s">
        <v>150</v>
      </c>
      <c r="D214" s="35" t="s">
        <v>151</v>
      </c>
      <c r="E214" s="36" t="s">
        <v>152</v>
      </c>
      <c r="F214" s="33" t="s">
        <v>153</v>
      </c>
      <c r="G214" s="33" t="s">
        <v>154</v>
      </c>
      <c r="H214" s="33" t="s">
        <v>8</v>
      </c>
      <c r="I214" s="45" t="s">
        <v>22</v>
      </c>
      <c r="J214" s="225" t="s">
        <v>155</v>
      </c>
      <c r="K214" s="33"/>
      <c r="L214" s="33"/>
      <c r="M214" s="33" t="s">
        <v>156</v>
      </c>
      <c r="P214" s="70"/>
      <c r="S214" s="33">
        <f t="shared" si="16"/>
        <v>27</v>
      </c>
      <c r="T214" s="34"/>
      <c r="U214" s="33" t="s">
        <v>150</v>
      </c>
      <c r="V214" s="35" t="s">
        <v>151</v>
      </c>
      <c r="W214" s="36" t="s">
        <v>152</v>
      </c>
      <c r="X214" s="33" t="s">
        <v>153</v>
      </c>
      <c r="Y214" s="33" t="s">
        <v>154</v>
      </c>
      <c r="Z214" s="33" t="s">
        <v>8</v>
      </c>
      <c r="AA214" s="45" t="s">
        <v>22</v>
      </c>
      <c r="AB214" s="225" t="s">
        <v>155</v>
      </c>
      <c r="AC214" s="33"/>
      <c r="AD214" s="33"/>
      <c r="AE214" s="33" t="s">
        <v>156</v>
      </c>
    </row>
    <row r="215" s="2" customFormat="1" hidden="1" outlineLevel="1" spans="1:31">
      <c r="A215" s="33">
        <f t="shared" si="15"/>
        <v>28</v>
      </c>
      <c r="B215" s="34"/>
      <c r="C215" s="33" t="s">
        <v>159</v>
      </c>
      <c r="D215" s="35" t="s">
        <v>160</v>
      </c>
      <c r="E215" s="33" t="s">
        <v>161</v>
      </c>
      <c r="F215" s="33" t="s">
        <v>153</v>
      </c>
      <c r="G215" s="33" t="s">
        <v>162</v>
      </c>
      <c r="H215" s="33"/>
      <c r="I215" s="45" t="s">
        <v>22</v>
      </c>
      <c r="J215" s="33">
        <v>0</v>
      </c>
      <c r="K215" s="33"/>
      <c r="L215" s="33"/>
      <c r="M215" s="33"/>
      <c r="P215" s="70"/>
      <c r="S215" s="33">
        <f t="shared" si="16"/>
        <v>28</v>
      </c>
      <c r="T215" s="34"/>
      <c r="U215" s="33" t="s">
        <v>159</v>
      </c>
      <c r="V215" s="35" t="s">
        <v>160</v>
      </c>
      <c r="W215" s="33" t="s">
        <v>161</v>
      </c>
      <c r="X215" s="33" t="s">
        <v>153</v>
      </c>
      <c r="Y215" s="33" t="s">
        <v>162</v>
      </c>
      <c r="Z215" s="33"/>
      <c r="AA215" s="45" t="s">
        <v>22</v>
      </c>
      <c r="AB215" s="33">
        <v>0</v>
      </c>
      <c r="AC215" s="33"/>
      <c r="AD215" s="33"/>
      <c r="AE215" s="33"/>
    </row>
    <row r="216" s="2" customFormat="1" hidden="1" outlineLevel="1" spans="1:31">
      <c r="A216" s="33">
        <f t="shared" si="15"/>
        <v>29</v>
      </c>
      <c r="B216" s="34"/>
      <c r="C216" s="33" t="s">
        <v>164</v>
      </c>
      <c r="D216" s="35" t="s">
        <v>165</v>
      </c>
      <c r="E216" s="33"/>
      <c r="F216" s="33" t="s">
        <v>141</v>
      </c>
      <c r="G216" s="33" t="s">
        <v>142</v>
      </c>
      <c r="H216" s="36">
        <v>32</v>
      </c>
      <c r="I216" s="45"/>
      <c r="J216" s="33"/>
      <c r="K216" s="33"/>
      <c r="L216" s="33"/>
      <c r="M216" s="33"/>
      <c r="P216" s="70"/>
      <c r="S216" s="33">
        <f t="shared" si="16"/>
        <v>29</v>
      </c>
      <c r="T216" s="34"/>
      <c r="U216" s="33" t="s">
        <v>164</v>
      </c>
      <c r="V216" s="35" t="s">
        <v>165</v>
      </c>
      <c r="W216" s="33"/>
      <c r="X216" s="33" t="s">
        <v>141</v>
      </c>
      <c r="Y216" s="33" t="s">
        <v>142</v>
      </c>
      <c r="Z216" s="36">
        <v>32</v>
      </c>
      <c r="AA216" s="45"/>
      <c r="AB216" s="33"/>
      <c r="AC216" s="33"/>
      <c r="AD216" s="33"/>
      <c r="AE216" s="33"/>
    </row>
    <row r="217" s="2" customFormat="1" hidden="1" outlineLevel="1" spans="1:31">
      <c r="A217" s="33">
        <f t="shared" si="15"/>
        <v>30</v>
      </c>
      <c r="B217" s="34"/>
      <c r="C217" s="33" t="s">
        <v>166</v>
      </c>
      <c r="D217" s="35" t="s">
        <v>167</v>
      </c>
      <c r="E217" s="33"/>
      <c r="F217" s="33" t="s">
        <v>153</v>
      </c>
      <c r="G217" s="33" t="s">
        <v>142</v>
      </c>
      <c r="H217" s="33">
        <v>32</v>
      </c>
      <c r="I217" s="45"/>
      <c r="J217" s="33"/>
      <c r="K217" s="33"/>
      <c r="L217" s="33"/>
      <c r="M217" s="33" t="s">
        <v>168</v>
      </c>
      <c r="P217" s="70"/>
      <c r="S217" s="33">
        <f t="shared" si="16"/>
        <v>30</v>
      </c>
      <c r="T217" s="34"/>
      <c r="U217" s="33" t="s">
        <v>166</v>
      </c>
      <c r="V217" s="35" t="s">
        <v>167</v>
      </c>
      <c r="W217" s="33"/>
      <c r="X217" s="33" t="s">
        <v>153</v>
      </c>
      <c r="Y217" s="33" t="s">
        <v>142</v>
      </c>
      <c r="Z217" s="33">
        <v>32</v>
      </c>
      <c r="AA217" s="45"/>
      <c r="AB217" s="33"/>
      <c r="AC217" s="33"/>
      <c r="AD217" s="33"/>
      <c r="AE217" s="33" t="s">
        <v>168</v>
      </c>
    </row>
    <row r="218" s="2" customFormat="1" hidden="1" outlineLevel="1" spans="1:31">
      <c r="A218" s="33">
        <f t="shared" si="15"/>
        <v>31</v>
      </c>
      <c r="B218" s="34"/>
      <c r="C218" s="33" t="s">
        <v>351</v>
      </c>
      <c r="D218" s="35" t="s">
        <v>171</v>
      </c>
      <c r="E218" s="33"/>
      <c r="F218" s="33" t="s">
        <v>172</v>
      </c>
      <c r="G218" s="33" t="s">
        <v>173</v>
      </c>
      <c r="H218" s="33" t="s">
        <v>8</v>
      </c>
      <c r="I218" s="45" t="s">
        <v>22</v>
      </c>
      <c r="J218" s="33"/>
      <c r="K218" s="33"/>
      <c r="L218" s="33"/>
      <c r="M218" s="33"/>
      <c r="P218" s="70"/>
      <c r="S218" s="33">
        <f t="shared" si="16"/>
        <v>31</v>
      </c>
      <c r="T218" s="34"/>
      <c r="U218" s="33" t="s">
        <v>351</v>
      </c>
      <c r="V218" s="35" t="s">
        <v>171</v>
      </c>
      <c r="W218" s="33"/>
      <c r="X218" s="33" t="s">
        <v>172</v>
      </c>
      <c r="Y218" s="33" t="s">
        <v>173</v>
      </c>
      <c r="Z218" s="33" t="s">
        <v>8</v>
      </c>
      <c r="AA218" s="45" t="s">
        <v>22</v>
      </c>
      <c r="AB218" s="33"/>
      <c r="AC218" s="33"/>
      <c r="AD218" s="33"/>
      <c r="AE218" s="33"/>
    </row>
    <row r="219" s="2" customFormat="1" hidden="1" outlineLevel="1" spans="1:31">
      <c r="A219" s="33">
        <f t="shared" si="15"/>
        <v>32</v>
      </c>
      <c r="B219" s="34"/>
      <c r="C219" s="36" t="s">
        <v>174</v>
      </c>
      <c r="D219" s="35" t="s">
        <v>175</v>
      </c>
      <c r="E219" s="33"/>
      <c r="F219" s="33" t="s">
        <v>141</v>
      </c>
      <c r="G219" s="33" t="s">
        <v>142</v>
      </c>
      <c r="H219" s="36">
        <v>32</v>
      </c>
      <c r="I219" s="45"/>
      <c r="J219" s="33"/>
      <c r="K219" s="33"/>
      <c r="L219" s="33"/>
      <c r="M219" s="33"/>
      <c r="P219" s="70"/>
      <c r="S219" s="33">
        <f t="shared" si="16"/>
        <v>32</v>
      </c>
      <c r="T219" s="34"/>
      <c r="U219" s="36" t="s">
        <v>174</v>
      </c>
      <c r="V219" s="35" t="s">
        <v>175</v>
      </c>
      <c r="W219" s="33"/>
      <c r="X219" s="33" t="s">
        <v>141</v>
      </c>
      <c r="Y219" s="33" t="s">
        <v>142</v>
      </c>
      <c r="Z219" s="36">
        <v>32</v>
      </c>
      <c r="AA219" s="45"/>
      <c r="AB219" s="33"/>
      <c r="AC219" s="33"/>
      <c r="AD219" s="33"/>
      <c r="AE219" s="33"/>
    </row>
    <row r="220" s="2" customFormat="1" ht="22.5" hidden="1" outlineLevel="1" spans="1:31">
      <c r="A220" s="33">
        <f t="shared" si="15"/>
        <v>33</v>
      </c>
      <c r="B220" s="34"/>
      <c r="C220" s="33" t="s">
        <v>176</v>
      </c>
      <c r="D220" s="35" t="s">
        <v>177</v>
      </c>
      <c r="E220" s="33" t="s">
        <v>178</v>
      </c>
      <c r="F220" s="33" t="s">
        <v>153</v>
      </c>
      <c r="G220" s="33" t="s">
        <v>142</v>
      </c>
      <c r="H220" s="33">
        <v>32</v>
      </c>
      <c r="I220" s="45"/>
      <c r="J220" s="33"/>
      <c r="K220" s="33"/>
      <c r="L220" s="33"/>
      <c r="M220" s="33" t="s">
        <v>179</v>
      </c>
      <c r="P220" s="70"/>
      <c r="S220" s="33">
        <f t="shared" si="16"/>
        <v>33</v>
      </c>
      <c r="T220" s="34"/>
      <c r="U220" s="33" t="s">
        <v>176</v>
      </c>
      <c r="V220" s="35" t="s">
        <v>177</v>
      </c>
      <c r="W220" s="33" t="s">
        <v>178</v>
      </c>
      <c r="X220" s="33" t="s">
        <v>153</v>
      </c>
      <c r="Y220" s="33" t="s">
        <v>142</v>
      </c>
      <c r="Z220" s="33">
        <v>32</v>
      </c>
      <c r="AA220" s="45"/>
      <c r="AB220" s="33"/>
      <c r="AC220" s="33"/>
      <c r="AD220" s="33"/>
      <c r="AE220" s="33" t="s">
        <v>179</v>
      </c>
    </row>
    <row r="221" s="2" customFormat="1" hidden="1" outlineLevel="1" spans="1:31">
      <c r="A221" s="33">
        <f t="shared" si="15"/>
        <v>34</v>
      </c>
      <c r="B221" s="34"/>
      <c r="C221" s="36" t="s">
        <v>353</v>
      </c>
      <c r="D221" s="35" t="s">
        <v>183</v>
      </c>
      <c r="E221" s="33"/>
      <c r="F221" s="33" t="s">
        <v>172</v>
      </c>
      <c r="G221" s="33" t="s">
        <v>173</v>
      </c>
      <c r="H221" s="33" t="s">
        <v>8</v>
      </c>
      <c r="I221" s="45" t="s">
        <v>22</v>
      </c>
      <c r="J221" s="33"/>
      <c r="K221" s="33"/>
      <c r="L221" s="33"/>
      <c r="M221" s="33"/>
      <c r="P221" s="70"/>
      <c r="S221" s="33">
        <f t="shared" si="16"/>
        <v>34</v>
      </c>
      <c r="T221" s="34"/>
      <c r="U221" s="36" t="s">
        <v>353</v>
      </c>
      <c r="V221" s="35" t="s">
        <v>183</v>
      </c>
      <c r="W221" s="33"/>
      <c r="X221" s="33" t="s">
        <v>172</v>
      </c>
      <c r="Y221" s="33" t="s">
        <v>173</v>
      </c>
      <c r="Z221" s="33" t="s">
        <v>8</v>
      </c>
      <c r="AA221" s="45" t="s">
        <v>22</v>
      </c>
      <c r="AB221" s="33"/>
      <c r="AC221" s="33"/>
      <c r="AD221" s="33"/>
      <c r="AE221" s="33"/>
    </row>
    <row r="222" hidden="1" outlineLevel="1"/>
    <row r="223" collapsed="1" spans="1:27">
      <c r="A223" s="6"/>
      <c r="B223" s="7" t="s">
        <v>15</v>
      </c>
      <c r="C223" s="8" t="s">
        <v>49</v>
      </c>
      <c r="D223" s="9"/>
      <c r="I223" s="37"/>
      <c r="S223" s="6"/>
      <c r="T223" s="7" t="s">
        <v>86</v>
      </c>
      <c r="U223" s="8" t="s">
        <v>49</v>
      </c>
      <c r="V223" s="9"/>
      <c r="AA223" s="37"/>
    </row>
    <row r="224" spans="1:31">
      <c r="A224" s="10"/>
      <c r="B224" s="11" t="s">
        <v>124</v>
      </c>
      <c r="C224" s="8" t="str">
        <f>テーブル一覧!E14</f>
        <v>T_SOD_SEND_MAIL</v>
      </c>
      <c r="D224" s="9"/>
      <c r="E224" s="2" t="s">
        <v>48</v>
      </c>
      <c r="F224" s="3"/>
      <c r="G224" s="3"/>
      <c r="H224" s="3"/>
      <c r="I224" s="37"/>
      <c r="J224" s="3"/>
      <c r="K224" s="3"/>
      <c r="L224" s="3"/>
      <c r="M224" s="38"/>
      <c r="S224" s="10"/>
      <c r="T224" s="11" t="s">
        <v>125</v>
      </c>
      <c r="U224" s="8" t="str">
        <f>C224</f>
        <v>T_SOD_SEND_MAIL</v>
      </c>
      <c r="V224" s="9"/>
      <c r="W224" s="2" t="s">
        <v>48</v>
      </c>
      <c r="X224" s="3"/>
      <c r="Y224" s="3"/>
      <c r="Z224" s="3"/>
      <c r="AA224" s="37"/>
      <c r="AB224" s="3"/>
      <c r="AC224" s="3"/>
      <c r="AD224" s="3"/>
      <c r="AE224" s="38"/>
    </row>
    <row r="225" ht="22.5" spans="1:31">
      <c r="A225" s="12" t="s">
        <v>0</v>
      </c>
      <c r="B225" s="13"/>
      <c r="C225" s="14" t="s">
        <v>126</v>
      </c>
      <c r="D225" s="15" t="s">
        <v>15</v>
      </c>
      <c r="E225" s="14" t="s">
        <v>16</v>
      </c>
      <c r="F225" s="16" t="s">
        <v>127</v>
      </c>
      <c r="G225" s="14" t="s">
        <v>127</v>
      </c>
      <c r="H225" s="14" t="s">
        <v>128</v>
      </c>
      <c r="I225" s="39" t="s">
        <v>129</v>
      </c>
      <c r="J225" s="14" t="s">
        <v>130</v>
      </c>
      <c r="K225" s="14" t="s">
        <v>131</v>
      </c>
      <c r="L225" s="14" t="s">
        <v>132</v>
      </c>
      <c r="M225" s="14" t="s">
        <v>6</v>
      </c>
      <c r="S225" s="12" t="s">
        <v>0</v>
      </c>
      <c r="T225" s="13"/>
      <c r="U225" s="14" t="s">
        <v>133</v>
      </c>
      <c r="V225" s="15" t="s">
        <v>86</v>
      </c>
      <c r="W225" s="14" t="s">
        <v>87</v>
      </c>
      <c r="X225" s="16" t="s">
        <v>134</v>
      </c>
      <c r="Y225" s="14" t="s">
        <v>134</v>
      </c>
      <c r="Z225" s="14" t="s">
        <v>128</v>
      </c>
      <c r="AA225" s="39" t="s">
        <v>135</v>
      </c>
      <c r="AB225" s="14" t="s">
        <v>130</v>
      </c>
      <c r="AC225" s="14" t="s">
        <v>136</v>
      </c>
      <c r="AD225" s="14" t="s">
        <v>132</v>
      </c>
      <c r="AE225" s="14" t="s">
        <v>137</v>
      </c>
    </row>
    <row r="226" s="2" customFormat="1" ht="22.5" spans="1:31">
      <c r="A226" s="31">
        <v>1</v>
      </c>
      <c r="B226" s="59"/>
      <c r="C226" s="31" t="s">
        <v>139</v>
      </c>
      <c r="D226" s="87" t="s">
        <v>1010</v>
      </c>
      <c r="E226" s="31" t="s">
        <v>646</v>
      </c>
      <c r="F226" s="31" t="s">
        <v>301</v>
      </c>
      <c r="G226" s="32" t="s">
        <v>302</v>
      </c>
      <c r="H226" s="31" t="s">
        <v>8</v>
      </c>
      <c r="I226" s="64" t="s">
        <v>22</v>
      </c>
      <c r="J226" s="31"/>
      <c r="K226" s="52" t="s">
        <v>303</v>
      </c>
      <c r="L226" s="31" t="s">
        <v>1011</v>
      </c>
      <c r="M226" s="31"/>
      <c r="P226" s="70"/>
      <c r="S226" s="31">
        <v>1</v>
      </c>
      <c r="T226" s="59"/>
      <c r="U226" s="31" t="s">
        <v>139</v>
      </c>
      <c r="V226" s="87" t="s">
        <v>1010</v>
      </c>
      <c r="W226" s="31" t="s">
        <v>647</v>
      </c>
      <c r="X226" s="31" t="s">
        <v>301</v>
      </c>
      <c r="Y226" s="79" t="s">
        <v>302</v>
      </c>
      <c r="Z226" s="31" t="s">
        <v>8</v>
      </c>
      <c r="AA226" s="64" t="s">
        <v>22</v>
      </c>
      <c r="AB226" s="31"/>
      <c r="AC226" s="52" t="s">
        <v>303</v>
      </c>
      <c r="AD226" s="31" t="s">
        <v>1011</v>
      </c>
      <c r="AE226" s="31"/>
    </row>
    <row r="227" s="2" customFormat="1" spans="1:31">
      <c r="A227" s="31">
        <f t="shared" ref="A227:A247" si="17">A226+1</f>
        <v>2</v>
      </c>
      <c r="B227" s="59"/>
      <c r="C227" s="31" t="s">
        <v>413</v>
      </c>
      <c r="D227" s="87" t="s">
        <v>414</v>
      </c>
      <c r="E227" s="31" t="s">
        <v>1012</v>
      </c>
      <c r="F227" s="31" t="s">
        <v>301</v>
      </c>
      <c r="G227" s="31" t="s">
        <v>306</v>
      </c>
      <c r="H227" s="31" t="s">
        <v>8</v>
      </c>
      <c r="I227" s="64"/>
      <c r="J227" s="31"/>
      <c r="K227" s="52"/>
      <c r="L227" s="31" t="s">
        <v>216</v>
      </c>
      <c r="M227" s="120"/>
      <c r="P227" s="70"/>
      <c r="S227" s="31">
        <f t="shared" ref="S227:S247" si="18">S226+1</f>
        <v>2</v>
      </c>
      <c r="T227" s="59"/>
      <c r="U227" s="31" t="s">
        <v>413</v>
      </c>
      <c r="V227" s="87" t="s">
        <v>414</v>
      </c>
      <c r="W227" s="31" t="s">
        <v>1012</v>
      </c>
      <c r="X227" s="31" t="s">
        <v>301</v>
      </c>
      <c r="Y227" s="31" t="s">
        <v>142</v>
      </c>
      <c r="Z227" s="31" t="s">
        <v>8</v>
      </c>
      <c r="AA227" s="64"/>
      <c r="AB227" s="31"/>
      <c r="AC227" s="52"/>
      <c r="AD227" s="31" t="s">
        <v>216</v>
      </c>
      <c r="AE227" s="120"/>
    </row>
    <row r="228" s="86" customFormat="1" spans="1:31">
      <c r="A228" s="32">
        <f t="shared" si="17"/>
        <v>3</v>
      </c>
      <c r="B228" s="51"/>
      <c r="C228" s="32" t="s">
        <v>1013</v>
      </c>
      <c r="D228" s="52" t="s">
        <v>1014</v>
      </c>
      <c r="E228" s="32"/>
      <c r="F228" s="32" t="s">
        <v>141</v>
      </c>
      <c r="G228" s="31" t="s">
        <v>142</v>
      </c>
      <c r="H228" s="32">
        <v>256</v>
      </c>
      <c r="I228" s="64" t="s">
        <v>22</v>
      </c>
      <c r="J228" s="32"/>
      <c r="K228" s="52"/>
      <c r="L228" s="32"/>
      <c r="M228" s="32"/>
      <c r="P228" s="70"/>
      <c r="Q228" s="2"/>
      <c r="S228" s="32">
        <f t="shared" si="18"/>
        <v>3</v>
      </c>
      <c r="T228" s="51"/>
      <c r="U228" s="32" t="s">
        <v>1013</v>
      </c>
      <c r="V228" s="52" t="s">
        <v>1014</v>
      </c>
      <c r="W228" s="32"/>
      <c r="X228" s="32" t="s">
        <v>141</v>
      </c>
      <c r="Y228" s="31" t="s">
        <v>142</v>
      </c>
      <c r="Z228" s="32">
        <v>256</v>
      </c>
      <c r="AA228" s="64" t="s">
        <v>22</v>
      </c>
      <c r="AB228" s="32"/>
      <c r="AC228" s="52"/>
      <c r="AD228" s="32"/>
      <c r="AE228" s="32"/>
    </row>
    <row r="229" s="86" customFormat="1" spans="1:31">
      <c r="A229" s="31">
        <f t="shared" si="17"/>
        <v>4</v>
      </c>
      <c r="B229" s="59"/>
      <c r="C229" s="31" t="s">
        <v>1015</v>
      </c>
      <c r="D229" s="87" t="s">
        <v>1016</v>
      </c>
      <c r="E229" s="31" t="s">
        <v>1017</v>
      </c>
      <c r="F229" s="31" t="s">
        <v>153</v>
      </c>
      <c r="G229" s="31" t="s">
        <v>254</v>
      </c>
      <c r="H229" s="31" t="s">
        <v>8</v>
      </c>
      <c r="I229" s="43" t="s">
        <v>22</v>
      </c>
      <c r="J229" s="31"/>
      <c r="K229" s="87"/>
      <c r="L229" s="31"/>
      <c r="M229" s="31"/>
      <c r="P229" s="70"/>
      <c r="Q229" s="2"/>
      <c r="S229" s="31">
        <f t="shared" si="18"/>
        <v>4</v>
      </c>
      <c r="T229" s="59"/>
      <c r="U229" s="31" t="s">
        <v>1015</v>
      </c>
      <c r="V229" s="87" t="s">
        <v>1016</v>
      </c>
      <c r="W229" s="31" t="s">
        <v>1018</v>
      </c>
      <c r="X229" s="31" t="s">
        <v>153</v>
      </c>
      <c r="Y229" s="31" t="s">
        <v>142</v>
      </c>
      <c r="Z229" s="31" t="s">
        <v>8</v>
      </c>
      <c r="AA229" s="43" t="s">
        <v>22</v>
      </c>
      <c r="AB229" s="31"/>
      <c r="AC229" s="87"/>
      <c r="AD229" s="31"/>
      <c r="AE229" s="31"/>
    </row>
    <row r="230" s="2" customFormat="1" ht="90" spans="1:31">
      <c r="A230" s="31">
        <f t="shared" si="17"/>
        <v>5</v>
      </c>
      <c r="B230" s="59"/>
      <c r="C230" s="31" t="s">
        <v>344</v>
      </c>
      <c r="D230" s="87" t="s">
        <v>965</v>
      </c>
      <c r="E230" s="31" t="s">
        <v>1019</v>
      </c>
      <c r="F230" s="31" t="s">
        <v>153</v>
      </c>
      <c r="G230" s="31" t="s">
        <v>254</v>
      </c>
      <c r="H230" s="31" t="s">
        <v>8</v>
      </c>
      <c r="I230" s="64" t="s">
        <v>22</v>
      </c>
      <c r="J230" s="31">
        <v>0</v>
      </c>
      <c r="K230" s="52"/>
      <c r="L230" s="31" t="s">
        <v>1020</v>
      </c>
      <c r="M230" s="31"/>
      <c r="P230" s="70"/>
      <c r="S230" s="31">
        <f t="shared" si="18"/>
        <v>5</v>
      </c>
      <c r="T230" s="59"/>
      <c r="U230" s="31" t="s">
        <v>344</v>
      </c>
      <c r="V230" s="87" t="s">
        <v>965</v>
      </c>
      <c r="W230" s="31" t="s">
        <v>1021</v>
      </c>
      <c r="X230" s="31" t="s">
        <v>153</v>
      </c>
      <c r="Y230" s="31" t="s">
        <v>142</v>
      </c>
      <c r="Z230" s="31" t="s">
        <v>8</v>
      </c>
      <c r="AA230" s="64" t="s">
        <v>22</v>
      </c>
      <c r="AB230" s="31">
        <v>0</v>
      </c>
      <c r="AC230" s="52"/>
      <c r="AD230" s="31" t="s">
        <v>1020</v>
      </c>
      <c r="AE230" s="31"/>
    </row>
    <row r="231" s="2" customFormat="1" spans="1:31">
      <c r="A231" s="31">
        <f t="shared" si="17"/>
        <v>6</v>
      </c>
      <c r="B231" s="59"/>
      <c r="C231" s="31" t="s">
        <v>1022</v>
      </c>
      <c r="D231" s="87" t="s">
        <v>1023</v>
      </c>
      <c r="E231" s="31"/>
      <c r="F231" s="31" t="s">
        <v>172</v>
      </c>
      <c r="G231" s="31" t="s">
        <v>173</v>
      </c>
      <c r="H231" s="31" t="s">
        <v>8</v>
      </c>
      <c r="I231" s="64"/>
      <c r="J231" s="31"/>
      <c r="K231" s="87"/>
      <c r="L231" s="31"/>
      <c r="M231" s="120"/>
      <c r="P231" s="70"/>
      <c r="S231" s="31">
        <f t="shared" si="18"/>
        <v>6</v>
      </c>
      <c r="T231" s="59"/>
      <c r="U231" s="31" t="s">
        <v>1022</v>
      </c>
      <c r="V231" s="87" t="s">
        <v>1023</v>
      </c>
      <c r="W231" s="31"/>
      <c r="X231" s="31" t="s">
        <v>172</v>
      </c>
      <c r="Y231" s="31" t="s">
        <v>142</v>
      </c>
      <c r="Z231" s="31" t="s">
        <v>8</v>
      </c>
      <c r="AA231" s="64"/>
      <c r="AB231" s="31"/>
      <c r="AC231" s="87"/>
      <c r="AD231" s="31"/>
      <c r="AE231" s="120"/>
    </row>
    <row r="232" s="2" customFormat="1" ht="146.25" spans="1:31">
      <c r="A232" s="31">
        <f t="shared" si="17"/>
        <v>7</v>
      </c>
      <c r="B232" s="59"/>
      <c r="C232" s="31" t="s">
        <v>1024</v>
      </c>
      <c r="D232" s="87" t="s">
        <v>1025</v>
      </c>
      <c r="E232" s="31" t="s">
        <v>1026</v>
      </c>
      <c r="F232" s="31" t="s">
        <v>1027</v>
      </c>
      <c r="G232" s="31" t="s">
        <v>517</v>
      </c>
      <c r="H232" s="31" t="s">
        <v>8</v>
      </c>
      <c r="I232" s="64"/>
      <c r="J232" s="31"/>
      <c r="K232" s="52"/>
      <c r="L232" s="31"/>
      <c r="M232" s="31"/>
      <c r="P232" s="70"/>
      <c r="S232" s="31">
        <f t="shared" si="18"/>
        <v>7</v>
      </c>
      <c r="T232" s="59"/>
      <c r="U232" s="31" t="s">
        <v>1024</v>
      </c>
      <c r="V232" s="87" t="s">
        <v>1025</v>
      </c>
      <c r="W232" s="31" t="s">
        <v>1028</v>
      </c>
      <c r="X232" s="31" t="s">
        <v>1027</v>
      </c>
      <c r="Y232" s="31" t="s">
        <v>517</v>
      </c>
      <c r="Z232" s="31" t="s">
        <v>8</v>
      </c>
      <c r="AA232" s="64"/>
      <c r="AB232" s="31"/>
      <c r="AC232" s="52"/>
      <c r="AD232" s="31"/>
      <c r="AE232" s="31" t="s">
        <v>1029</v>
      </c>
    </row>
    <row r="233" s="2" customFormat="1" ht="22.5" spans="1:31">
      <c r="A233" s="61">
        <f t="shared" si="17"/>
        <v>8</v>
      </c>
      <c r="B233" s="62"/>
      <c r="C233" s="61" t="s">
        <v>1030</v>
      </c>
      <c r="D233" s="63" t="s">
        <v>1031</v>
      </c>
      <c r="E233" s="61" t="s">
        <v>1032</v>
      </c>
      <c r="F233" s="61" t="s">
        <v>141</v>
      </c>
      <c r="G233" s="61" t="s">
        <v>142</v>
      </c>
      <c r="H233" s="61">
        <v>50</v>
      </c>
      <c r="I233" s="69"/>
      <c r="J233" s="61"/>
      <c r="K233" s="63"/>
      <c r="L233" s="61"/>
      <c r="M233" s="61" t="s">
        <v>230</v>
      </c>
      <c r="P233" s="70"/>
      <c r="S233" s="61">
        <f t="shared" si="18"/>
        <v>8</v>
      </c>
      <c r="T233" s="62"/>
      <c r="U233" s="61" t="s">
        <v>1030</v>
      </c>
      <c r="V233" s="63" t="s">
        <v>1031</v>
      </c>
      <c r="W233" s="61" t="s">
        <v>1032</v>
      </c>
      <c r="X233" s="61" t="s">
        <v>141</v>
      </c>
      <c r="Y233" s="61" t="s">
        <v>142</v>
      </c>
      <c r="Z233" s="61">
        <v>50</v>
      </c>
      <c r="AA233" s="69"/>
      <c r="AB233" s="61"/>
      <c r="AC233" s="63"/>
      <c r="AD233" s="61"/>
      <c r="AE233" s="61" t="s">
        <v>230</v>
      </c>
    </row>
    <row r="234" s="2" customFormat="1" ht="22.5" spans="1:31">
      <c r="A234" s="61">
        <f t="shared" si="17"/>
        <v>9</v>
      </c>
      <c r="B234" s="62"/>
      <c r="C234" s="61" t="s">
        <v>1033</v>
      </c>
      <c r="D234" s="63" t="s">
        <v>1034</v>
      </c>
      <c r="E234" s="61" t="s">
        <v>1035</v>
      </c>
      <c r="F234" s="61" t="s">
        <v>1036</v>
      </c>
      <c r="G234" s="61" t="s">
        <v>1037</v>
      </c>
      <c r="H234" s="61" t="s">
        <v>8</v>
      </c>
      <c r="I234" s="69"/>
      <c r="J234" s="61"/>
      <c r="K234" s="63"/>
      <c r="L234" s="61"/>
      <c r="M234" s="61" t="s">
        <v>230</v>
      </c>
      <c r="P234" s="70"/>
      <c r="S234" s="61">
        <f t="shared" si="18"/>
        <v>9</v>
      </c>
      <c r="T234" s="62"/>
      <c r="U234" s="61" t="s">
        <v>1033</v>
      </c>
      <c r="V234" s="63" t="s">
        <v>1034</v>
      </c>
      <c r="W234" s="61" t="s">
        <v>1035</v>
      </c>
      <c r="X234" s="61" t="s">
        <v>1036</v>
      </c>
      <c r="Y234" s="61" t="s">
        <v>142</v>
      </c>
      <c r="Z234" s="61" t="s">
        <v>8</v>
      </c>
      <c r="AA234" s="69"/>
      <c r="AB234" s="61"/>
      <c r="AC234" s="63"/>
      <c r="AD234" s="61"/>
      <c r="AE234" s="61" t="s">
        <v>230</v>
      </c>
    </row>
    <row r="235" s="2" customFormat="1" ht="22.5" spans="1:31">
      <c r="A235" s="61">
        <f t="shared" si="17"/>
        <v>10</v>
      </c>
      <c r="B235" s="62"/>
      <c r="C235" s="61" t="s">
        <v>1038</v>
      </c>
      <c r="D235" s="63" t="s">
        <v>1039</v>
      </c>
      <c r="E235" s="61" t="s">
        <v>1032</v>
      </c>
      <c r="F235" s="61" t="s">
        <v>141</v>
      </c>
      <c r="G235" s="61" t="s">
        <v>142</v>
      </c>
      <c r="H235" s="61">
        <v>50</v>
      </c>
      <c r="I235" s="69"/>
      <c r="J235" s="61"/>
      <c r="K235" s="63"/>
      <c r="L235" s="61"/>
      <c r="M235" s="61" t="s">
        <v>230</v>
      </c>
      <c r="P235" s="70"/>
      <c r="S235" s="61">
        <f t="shared" si="18"/>
        <v>10</v>
      </c>
      <c r="T235" s="62"/>
      <c r="U235" s="61" t="s">
        <v>1038</v>
      </c>
      <c r="V235" s="63" t="s">
        <v>1039</v>
      </c>
      <c r="W235" s="61" t="s">
        <v>1032</v>
      </c>
      <c r="X235" s="61" t="s">
        <v>141</v>
      </c>
      <c r="Y235" s="61" t="s">
        <v>142</v>
      </c>
      <c r="Z235" s="61">
        <v>50</v>
      </c>
      <c r="AA235" s="69"/>
      <c r="AB235" s="61"/>
      <c r="AC235" s="63"/>
      <c r="AD235" s="61"/>
      <c r="AE235" s="61" t="s">
        <v>230</v>
      </c>
    </row>
    <row r="236" s="2" customFormat="1" ht="22.5" spans="1:31">
      <c r="A236" s="61">
        <f t="shared" si="17"/>
        <v>11</v>
      </c>
      <c r="B236" s="62"/>
      <c r="C236" s="61" t="s">
        <v>1040</v>
      </c>
      <c r="D236" s="63" t="s">
        <v>1041</v>
      </c>
      <c r="E236" s="61" t="s">
        <v>1035</v>
      </c>
      <c r="F236" s="61" t="s">
        <v>1036</v>
      </c>
      <c r="G236" s="61" t="s">
        <v>1037</v>
      </c>
      <c r="H236" s="61" t="s">
        <v>8</v>
      </c>
      <c r="I236" s="69"/>
      <c r="J236" s="61"/>
      <c r="K236" s="63"/>
      <c r="L236" s="61"/>
      <c r="M236" s="61" t="s">
        <v>230</v>
      </c>
      <c r="P236" s="70"/>
      <c r="S236" s="61">
        <f t="shared" si="18"/>
        <v>11</v>
      </c>
      <c r="T236" s="62"/>
      <c r="U236" s="61" t="s">
        <v>1040</v>
      </c>
      <c r="V236" s="63" t="s">
        <v>1041</v>
      </c>
      <c r="W236" s="61" t="s">
        <v>1035</v>
      </c>
      <c r="X236" s="61" t="s">
        <v>1036</v>
      </c>
      <c r="Y236" s="61" t="s">
        <v>142</v>
      </c>
      <c r="Z236" s="61" t="s">
        <v>8</v>
      </c>
      <c r="AA236" s="69"/>
      <c r="AB236" s="61"/>
      <c r="AC236" s="63"/>
      <c r="AD236" s="61"/>
      <c r="AE236" s="61" t="s">
        <v>230</v>
      </c>
    </row>
    <row r="237" s="2" customFormat="1" ht="22.5" spans="1:31">
      <c r="A237" s="61">
        <f t="shared" si="17"/>
        <v>12</v>
      </c>
      <c r="B237" s="62"/>
      <c r="C237" s="61" t="s">
        <v>1042</v>
      </c>
      <c r="D237" s="63" t="s">
        <v>1043</v>
      </c>
      <c r="E237" s="61" t="s">
        <v>1032</v>
      </c>
      <c r="F237" s="61" t="s">
        <v>141</v>
      </c>
      <c r="G237" s="61" t="s">
        <v>142</v>
      </c>
      <c r="H237" s="61">
        <v>50</v>
      </c>
      <c r="I237" s="69"/>
      <c r="J237" s="61"/>
      <c r="K237" s="63"/>
      <c r="L237" s="61"/>
      <c r="M237" s="61" t="s">
        <v>230</v>
      </c>
      <c r="P237" s="70"/>
      <c r="S237" s="61">
        <f t="shared" si="18"/>
        <v>12</v>
      </c>
      <c r="T237" s="62"/>
      <c r="U237" s="61" t="s">
        <v>1042</v>
      </c>
      <c r="V237" s="63" t="s">
        <v>1043</v>
      </c>
      <c r="W237" s="61" t="s">
        <v>1032</v>
      </c>
      <c r="X237" s="61" t="s">
        <v>141</v>
      </c>
      <c r="Y237" s="61" t="s">
        <v>142</v>
      </c>
      <c r="Z237" s="61">
        <v>50</v>
      </c>
      <c r="AA237" s="69"/>
      <c r="AB237" s="61"/>
      <c r="AC237" s="63"/>
      <c r="AD237" s="61"/>
      <c r="AE237" s="61" t="s">
        <v>230</v>
      </c>
    </row>
    <row r="238" s="2" customFormat="1" ht="22.5" spans="1:31">
      <c r="A238" s="61">
        <f t="shared" si="17"/>
        <v>13</v>
      </c>
      <c r="B238" s="62"/>
      <c r="C238" s="61" t="s">
        <v>1044</v>
      </c>
      <c r="D238" s="63" t="s">
        <v>1045</v>
      </c>
      <c r="E238" s="61" t="s">
        <v>1035</v>
      </c>
      <c r="F238" s="61" t="s">
        <v>1036</v>
      </c>
      <c r="G238" s="61" t="s">
        <v>1037</v>
      </c>
      <c r="H238" s="61" t="s">
        <v>8</v>
      </c>
      <c r="I238" s="69"/>
      <c r="J238" s="61"/>
      <c r="K238" s="63"/>
      <c r="L238" s="61"/>
      <c r="M238" s="61" t="s">
        <v>230</v>
      </c>
      <c r="P238" s="70"/>
      <c r="S238" s="61">
        <f t="shared" si="18"/>
        <v>13</v>
      </c>
      <c r="T238" s="62"/>
      <c r="U238" s="61" t="s">
        <v>1044</v>
      </c>
      <c r="V238" s="63" t="s">
        <v>1045</v>
      </c>
      <c r="W238" s="61" t="s">
        <v>1035</v>
      </c>
      <c r="X238" s="61" t="s">
        <v>1036</v>
      </c>
      <c r="Y238" s="61" t="s">
        <v>142</v>
      </c>
      <c r="Z238" s="61" t="s">
        <v>8</v>
      </c>
      <c r="AA238" s="69"/>
      <c r="AB238" s="61"/>
      <c r="AC238" s="63"/>
      <c r="AD238" s="61"/>
      <c r="AE238" s="61" t="s">
        <v>230</v>
      </c>
    </row>
    <row r="239" s="2" customFormat="1" spans="1:31">
      <c r="A239" s="31">
        <f t="shared" si="17"/>
        <v>14</v>
      </c>
      <c r="B239" s="59"/>
      <c r="C239" s="31" t="s">
        <v>149</v>
      </c>
      <c r="D239" s="87" t="s">
        <v>6</v>
      </c>
      <c r="E239" s="31"/>
      <c r="F239" s="31" t="s">
        <v>1046</v>
      </c>
      <c r="G239" s="31" t="s">
        <v>1037</v>
      </c>
      <c r="H239" s="31" t="s">
        <v>8</v>
      </c>
      <c r="I239" s="43"/>
      <c r="J239" s="31"/>
      <c r="K239" s="87"/>
      <c r="L239" s="31"/>
      <c r="M239" s="31"/>
      <c r="P239" s="70"/>
      <c r="S239" s="31">
        <f t="shared" si="18"/>
        <v>14</v>
      </c>
      <c r="T239" s="59"/>
      <c r="U239" s="31" t="s">
        <v>149</v>
      </c>
      <c r="V239" s="87" t="s">
        <v>6</v>
      </c>
      <c r="W239" s="31"/>
      <c r="X239" s="31" t="s">
        <v>1046</v>
      </c>
      <c r="Y239" s="31" t="s">
        <v>142</v>
      </c>
      <c r="Z239" s="31" t="s">
        <v>8</v>
      </c>
      <c r="AA239" s="43"/>
      <c r="AB239" s="31"/>
      <c r="AC239" s="87"/>
      <c r="AD239" s="31"/>
      <c r="AE239" s="31"/>
    </row>
    <row r="240" s="2" customFormat="1" ht="22.5" spans="1:31">
      <c r="A240" s="33">
        <f t="shared" si="17"/>
        <v>15</v>
      </c>
      <c r="B240" s="34"/>
      <c r="C240" s="33" t="s">
        <v>150</v>
      </c>
      <c r="D240" s="35" t="s">
        <v>151</v>
      </c>
      <c r="E240" s="33" t="s">
        <v>152</v>
      </c>
      <c r="F240" s="33" t="s">
        <v>153</v>
      </c>
      <c r="G240" s="33" t="s">
        <v>154</v>
      </c>
      <c r="H240" s="33" t="s">
        <v>8</v>
      </c>
      <c r="I240" s="45" t="s">
        <v>22</v>
      </c>
      <c r="J240" s="225" t="s">
        <v>155</v>
      </c>
      <c r="K240" s="33"/>
      <c r="L240" s="33"/>
      <c r="M240" s="33" t="s">
        <v>156</v>
      </c>
      <c r="P240" s="70"/>
      <c r="S240" s="33">
        <f t="shared" si="18"/>
        <v>15</v>
      </c>
      <c r="T240" s="34"/>
      <c r="U240" s="33" t="s">
        <v>150</v>
      </c>
      <c r="V240" s="35" t="s">
        <v>151</v>
      </c>
      <c r="W240" s="33" t="s">
        <v>644</v>
      </c>
      <c r="X240" s="33" t="s">
        <v>153</v>
      </c>
      <c r="Y240" s="33" t="s">
        <v>154</v>
      </c>
      <c r="Z240" s="33" t="s">
        <v>8</v>
      </c>
      <c r="AA240" s="45" t="s">
        <v>22</v>
      </c>
      <c r="AB240" s="225" t="s">
        <v>155</v>
      </c>
      <c r="AC240" s="33"/>
      <c r="AD240" s="33"/>
      <c r="AE240" s="33" t="s">
        <v>349</v>
      </c>
    </row>
    <row r="241" s="2" customFormat="1" spans="1:31">
      <c r="A241" s="33">
        <f t="shared" si="17"/>
        <v>16</v>
      </c>
      <c r="B241" s="34"/>
      <c r="C241" s="33" t="s">
        <v>159</v>
      </c>
      <c r="D241" s="35" t="s">
        <v>160</v>
      </c>
      <c r="E241" s="33" t="s">
        <v>161</v>
      </c>
      <c r="F241" s="33" t="s">
        <v>153</v>
      </c>
      <c r="G241" s="33" t="s">
        <v>162</v>
      </c>
      <c r="H241" s="33"/>
      <c r="I241" s="45" t="s">
        <v>22</v>
      </c>
      <c r="J241" s="33">
        <v>0</v>
      </c>
      <c r="K241" s="33"/>
      <c r="L241" s="33"/>
      <c r="M241" s="33"/>
      <c r="P241" s="70"/>
      <c r="S241" s="33">
        <f t="shared" si="18"/>
        <v>16</v>
      </c>
      <c r="T241" s="34"/>
      <c r="U241" s="33" t="s">
        <v>159</v>
      </c>
      <c r="V241" s="35" t="s">
        <v>160</v>
      </c>
      <c r="W241" s="33" t="s">
        <v>163</v>
      </c>
      <c r="X241" s="33" t="s">
        <v>153</v>
      </c>
      <c r="Y241" s="33" t="s">
        <v>162</v>
      </c>
      <c r="Z241" s="33"/>
      <c r="AA241" s="45" t="s">
        <v>22</v>
      </c>
      <c r="AB241" s="33">
        <v>0</v>
      </c>
      <c r="AC241" s="33"/>
      <c r="AD241" s="33"/>
      <c r="AE241" s="33"/>
    </row>
    <row r="242" s="2" customFormat="1" spans="1:31">
      <c r="A242" s="33">
        <f t="shared" si="17"/>
        <v>17</v>
      </c>
      <c r="B242" s="34"/>
      <c r="C242" s="33" t="s">
        <v>164</v>
      </c>
      <c r="D242" s="35" t="s">
        <v>165</v>
      </c>
      <c r="E242" s="33"/>
      <c r="F242" s="33" t="s">
        <v>141</v>
      </c>
      <c r="G242" s="33" t="s">
        <v>142</v>
      </c>
      <c r="H242" s="33">
        <v>32</v>
      </c>
      <c r="I242" s="45"/>
      <c r="J242" s="33"/>
      <c r="K242" s="33"/>
      <c r="L242" s="33"/>
      <c r="M242" s="33"/>
      <c r="P242" s="70"/>
      <c r="S242" s="33">
        <f t="shared" si="18"/>
        <v>17</v>
      </c>
      <c r="T242" s="34"/>
      <c r="U242" s="33" t="s">
        <v>164</v>
      </c>
      <c r="V242" s="35" t="s">
        <v>165</v>
      </c>
      <c r="W242" s="33"/>
      <c r="X242" s="33" t="s">
        <v>141</v>
      </c>
      <c r="Y242" s="33" t="s">
        <v>142</v>
      </c>
      <c r="Z242" s="33">
        <v>32</v>
      </c>
      <c r="AA242" s="45"/>
      <c r="AB242" s="33"/>
      <c r="AC242" s="33"/>
      <c r="AD242" s="33"/>
      <c r="AE242" s="33"/>
    </row>
    <row r="243" s="2" customFormat="1" spans="1:31">
      <c r="A243" s="33">
        <f t="shared" si="17"/>
        <v>18</v>
      </c>
      <c r="B243" s="34"/>
      <c r="C243" s="33" t="s">
        <v>166</v>
      </c>
      <c r="D243" s="35" t="s">
        <v>167</v>
      </c>
      <c r="E243" s="33"/>
      <c r="F243" s="33" t="s">
        <v>153</v>
      </c>
      <c r="G243" s="33" t="s">
        <v>142</v>
      </c>
      <c r="H243" s="33">
        <v>32</v>
      </c>
      <c r="I243" s="45"/>
      <c r="J243" s="33"/>
      <c r="K243" s="33"/>
      <c r="L243" s="33"/>
      <c r="M243" s="33" t="s">
        <v>168</v>
      </c>
      <c r="P243" s="70"/>
      <c r="S243" s="33">
        <f t="shared" si="18"/>
        <v>18</v>
      </c>
      <c r="T243" s="34"/>
      <c r="U243" s="33" t="s">
        <v>166</v>
      </c>
      <c r="V243" s="35" t="s">
        <v>167</v>
      </c>
      <c r="W243" s="33"/>
      <c r="X243" s="33" t="s">
        <v>153</v>
      </c>
      <c r="Y243" s="33" t="s">
        <v>142</v>
      </c>
      <c r="Z243" s="33">
        <v>32</v>
      </c>
      <c r="AA243" s="45"/>
      <c r="AB243" s="33"/>
      <c r="AC243" s="33"/>
      <c r="AD243" s="33"/>
      <c r="AE243" s="33" t="s">
        <v>169</v>
      </c>
    </row>
    <row r="244" s="2" customFormat="1" spans="1:31">
      <c r="A244" s="33">
        <f t="shared" si="17"/>
        <v>19</v>
      </c>
      <c r="B244" s="34"/>
      <c r="C244" s="36" t="s">
        <v>170</v>
      </c>
      <c r="D244" s="35" t="s">
        <v>171</v>
      </c>
      <c r="E244" s="33"/>
      <c r="F244" s="33" t="s">
        <v>172</v>
      </c>
      <c r="G244" s="33" t="s">
        <v>173</v>
      </c>
      <c r="H244" s="33" t="s">
        <v>8</v>
      </c>
      <c r="I244" s="45" t="s">
        <v>22</v>
      </c>
      <c r="J244" s="33"/>
      <c r="K244" s="33"/>
      <c r="L244" s="33"/>
      <c r="M244" s="33"/>
      <c r="P244" s="70"/>
      <c r="S244" s="33">
        <f t="shared" si="18"/>
        <v>19</v>
      </c>
      <c r="T244" s="34"/>
      <c r="U244" s="33" t="s">
        <v>351</v>
      </c>
      <c r="V244" s="35" t="s">
        <v>171</v>
      </c>
      <c r="W244" s="33"/>
      <c r="X244" s="33" t="s">
        <v>172</v>
      </c>
      <c r="Y244" s="33" t="s">
        <v>173</v>
      </c>
      <c r="Z244" s="33" t="s">
        <v>8</v>
      </c>
      <c r="AA244" s="45" t="s">
        <v>22</v>
      </c>
      <c r="AB244" s="33"/>
      <c r="AC244" s="33"/>
      <c r="AD244" s="33"/>
      <c r="AE244" s="33"/>
    </row>
    <row r="245" s="2" customFormat="1" spans="1:31">
      <c r="A245" s="33">
        <f t="shared" si="17"/>
        <v>20</v>
      </c>
      <c r="B245" s="34"/>
      <c r="C245" s="33" t="s">
        <v>174</v>
      </c>
      <c r="D245" s="35" t="s">
        <v>175</v>
      </c>
      <c r="E245" s="33"/>
      <c r="F245" s="33" t="s">
        <v>141</v>
      </c>
      <c r="G245" s="33" t="s">
        <v>142</v>
      </c>
      <c r="H245" s="33">
        <v>32</v>
      </c>
      <c r="I245" s="45"/>
      <c r="J245" s="33"/>
      <c r="K245" s="33"/>
      <c r="L245" s="33"/>
      <c r="M245" s="33"/>
      <c r="P245" s="70"/>
      <c r="S245" s="33">
        <f t="shared" si="18"/>
        <v>20</v>
      </c>
      <c r="T245" s="34"/>
      <c r="U245" s="33" t="s">
        <v>174</v>
      </c>
      <c r="V245" s="35" t="s">
        <v>175</v>
      </c>
      <c r="W245" s="33"/>
      <c r="X245" s="33" t="s">
        <v>141</v>
      </c>
      <c r="Y245" s="33" t="s">
        <v>142</v>
      </c>
      <c r="Z245" s="33">
        <v>32</v>
      </c>
      <c r="AA245" s="45"/>
      <c r="AB245" s="33"/>
      <c r="AC245" s="33"/>
      <c r="AD245" s="33"/>
      <c r="AE245" s="33"/>
    </row>
    <row r="246" s="2" customFormat="1" ht="22.5" spans="1:31">
      <c r="A246" s="33">
        <f t="shared" si="17"/>
        <v>21</v>
      </c>
      <c r="B246" s="34"/>
      <c r="C246" s="33" t="s">
        <v>176</v>
      </c>
      <c r="D246" s="35" t="s">
        <v>177</v>
      </c>
      <c r="E246" s="33" t="s">
        <v>178</v>
      </c>
      <c r="F246" s="33" t="s">
        <v>153</v>
      </c>
      <c r="G246" s="33" t="s">
        <v>142</v>
      </c>
      <c r="H246" s="33">
        <v>32</v>
      </c>
      <c r="I246" s="45"/>
      <c r="J246" s="33"/>
      <c r="K246" s="33"/>
      <c r="L246" s="33"/>
      <c r="M246" s="33" t="s">
        <v>179</v>
      </c>
      <c r="P246" s="70"/>
      <c r="S246" s="33">
        <f t="shared" si="18"/>
        <v>21</v>
      </c>
      <c r="T246" s="34"/>
      <c r="U246" s="33" t="s">
        <v>176</v>
      </c>
      <c r="V246" s="35" t="s">
        <v>177</v>
      </c>
      <c r="W246" s="33" t="s">
        <v>180</v>
      </c>
      <c r="X246" s="33" t="s">
        <v>153</v>
      </c>
      <c r="Y246" s="33" t="s">
        <v>142</v>
      </c>
      <c r="Z246" s="33">
        <v>32</v>
      </c>
      <c r="AA246" s="45"/>
      <c r="AB246" s="33"/>
      <c r="AC246" s="33"/>
      <c r="AD246" s="33"/>
      <c r="AE246" s="33" t="s">
        <v>645</v>
      </c>
    </row>
    <row r="247" s="2" customFormat="1" spans="1:31">
      <c r="A247" s="33">
        <f t="shared" si="17"/>
        <v>22</v>
      </c>
      <c r="B247" s="34"/>
      <c r="C247" s="36" t="s">
        <v>182</v>
      </c>
      <c r="D247" s="35" t="s">
        <v>183</v>
      </c>
      <c r="E247" s="33"/>
      <c r="F247" s="33" t="s">
        <v>172</v>
      </c>
      <c r="G247" s="33" t="s">
        <v>173</v>
      </c>
      <c r="H247" s="33" t="s">
        <v>8</v>
      </c>
      <c r="I247" s="45" t="s">
        <v>22</v>
      </c>
      <c r="J247" s="33"/>
      <c r="K247" s="33"/>
      <c r="L247" s="33"/>
      <c r="M247" s="33"/>
      <c r="P247" s="70"/>
      <c r="S247" s="33">
        <f t="shared" si="18"/>
        <v>22</v>
      </c>
      <c r="T247" s="34"/>
      <c r="U247" s="33" t="s">
        <v>353</v>
      </c>
      <c r="V247" s="35" t="s">
        <v>183</v>
      </c>
      <c r="W247" s="33"/>
      <c r="X247" s="33" t="s">
        <v>172</v>
      </c>
      <c r="Y247" s="33" t="s">
        <v>173</v>
      </c>
      <c r="Z247" s="33" t="s">
        <v>8</v>
      </c>
      <c r="AA247" s="45" t="s">
        <v>22</v>
      </c>
      <c r="AB247" s="33"/>
      <c r="AC247" s="33"/>
      <c r="AD247" s="33"/>
      <c r="AE247" s="33"/>
    </row>
    <row r="249" spans="1:27">
      <c r="A249" s="6"/>
      <c r="B249" s="7" t="s">
        <v>15</v>
      </c>
      <c r="C249" s="8" t="s">
        <v>56</v>
      </c>
      <c r="D249" s="9"/>
      <c r="I249" s="37"/>
      <c r="S249" s="6"/>
      <c r="T249" s="7" t="s">
        <v>86</v>
      </c>
      <c r="U249" s="8" t="s">
        <v>56</v>
      </c>
      <c r="V249" s="9"/>
      <c r="AA249" s="37"/>
    </row>
    <row r="250" spans="1:31">
      <c r="A250" s="10"/>
      <c r="B250" s="11" t="s">
        <v>124</v>
      </c>
      <c r="C250" s="8" t="str">
        <f>テーブル一覧!E16</f>
        <v>T_SOD_QT_ORDER</v>
      </c>
      <c r="D250" s="9"/>
      <c r="E250" s="2" t="s">
        <v>1047</v>
      </c>
      <c r="F250" s="3"/>
      <c r="G250" s="3"/>
      <c r="H250" s="3"/>
      <c r="I250" s="37"/>
      <c r="J250" s="3"/>
      <c r="K250" s="3"/>
      <c r="L250" s="3"/>
      <c r="M250" s="38"/>
      <c r="S250" s="10"/>
      <c r="T250" s="11" t="s">
        <v>125</v>
      </c>
      <c r="U250" s="8" t="str">
        <f>C250</f>
        <v>T_SOD_QT_ORDER</v>
      </c>
      <c r="V250" s="9"/>
      <c r="W250" s="2" t="s">
        <v>1047</v>
      </c>
      <c r="X250" s="3"/>
      <c r="Y250" s="3"/>
      <c r="Z250" s="3"/>
      <c r="AA250" s="37"/>
      <c r="AB250" s="3"/>
      <c r="AC250" s="3"/>
      <c r="AD250" s="3"/>
      <c r="AE250" s="38"/>
    </row>
    <row r="251" ht="22.5" spans="1:31">
      <c r="A251" s="12" t="s">
        <v>0</v>
      </c>
      <c r="B251" s="13"/>
      <c r="C251" s="14" t="s">
        <v>126</v>
      </c>
      <c r="D251" s="15" t="s">
        <v>15</v>
      </c>
      <c r="E251" s="14" t="s">
        <v>16</v>
      </c>
      <c r="F251" s="16" t="s">
        <v>127</v>
      </c>
      <c r="G251" s="14" t="s">
        <v>127</v>
      </c>
      <c r="H251" s="14" t="s">
        <v>128</v>
      </c>
      <c r="I251" s="39" t="s">
        <v>129</v>
      </c>
      <c r="J251" s="14" t="s">
        <v>130</v>
      </c>
      <c r="K251" s="14" t="s">
        <v>131</v>
      </c>
      <c r="L251" s="14" t="s">
        <v>132</v>
      </c>
      <c r="M251" s="14" t="s">
        <v>6</v>
      </c>
      <c r="S251" s="12" t="s">
        <v>0</v>
      </c>
      <c r="T251" s="13"/>
      <c r="U251" s="14" t="s">
        <v>133</v>
      </c>
      <c r="V251" s="15" t="s">
        <v>86</v>
      </c>
      <c r="W251" s="14" t="s">
        <v>87</v>
      </c>
      <c r="X251" s="16" t="s">
        <v>134</v>
      </c>
      <c r="Y251" s="14" t="s">
        <v>134</v>
      </c>
      <c r="Z251" s="14" t="s">
        <v>128</v>
      </c>
      <c r="AA251" s="39" t="s">
        <v>135</v>
      </c>
      <c r="AB251" s="14" t="s">
        <v>130</v>
      </c>
      <c r="AC251" s="14" t="s">
        <v>136</v>
      </c>
      <c r="AD251" s="14" t="s">
        <v>132</v>
      </c>
      <c r="AE251" s="14" t="s">
        <v>137</v>
      </c>
    </row>
    <row r="252" s="2" customFormat="1" spans="1:31">
      <c r="A252" s="31">
        <v>1</v>
      </c>
      <c r="B252" s="59"/>
      <c r="C252" s="31" t="s">
        <v>413</v>
      </c>
      <c r="D252" s="31" t="s">
        <v>414</v>
      </c>
      <c r="E252" s="31"/>
      <c r="F252" s="31" t="s">
        <v>301</v>
      </c>
      <c r="G252" s="31" t="s">
        <v>306</v>
      </c>
      <c r="H252" s="31" t="s">
        <v>8</v>
      </c>
      <c r="I252" s="43"/>
      <c r="J252" s="31"/>
      <c r="K252" s="31"/>
      <c r="L252" s="31" t="s">
        <v>188</v>
      </c>
      <c r="M252" s="31"/>
      <c r="P252" s="70"/>
      <c r="S252" s="31">
        <v>1</v>
      </c>
      <c r="T252" s="59"/>
      <c r="U252" s="31" t="s">
        <v>413</v>
      </c>
      <c r="V252" s="31" t="s">
        <v>414</v>
      </c>
      <c r="W252" s="31"/>
      <c r="X252" s="31" t="s">
        <v>301</v>
      </c>
      <c r="Y252" s="31" t="s">
        <v>142</v>
      </c>
      <c r="Z252" s="31" t="s">
        <v>8</v>
      </c>
      <c r="AA252" s="43"/>
      <c r="AB252" s="31"/>
      <c r="AC252" s="31"/>
      <c r="AD252" s="31" t="s">
        <v>188</v>
      </c>
      <c r="AE252" s="31"/>
    </row>
    <row r="253" s="2" customFormat="1" ht="22.5" spans="1:31">
      <c r="A253" s="31">
        <f>A252+1</f>
        <v>2</v>
      </c>
      <c r="B253" s="119"/>
      <c r="C253" s="31" t="s">
        <v>1048</v>
      </c>
      <c r="D253" s="31" t="s">
        <v>1049</v>
      </c>
      <c r="E253" s="31" t="s">
        <v>1050</v>
      </c>
      <c r="F253" s="31" t="s">
        <v>141</v>
      </c>
      <c r="G253" s="31" t="s">
        <v>142</v>
      </c>
      <c r="H253" s="31">
        <v>15</v>
      </c>
      <c r="I253" s="43"/>
      <c r="J253" s="31"/>
      <c r="K253" s="31"/>
      <c r="L253" s="87"/>
      <c r="M253" s="31" t="s">
        <v>1051</v>
      </c>
      <c r="P253" s="70"/>
      <c r="S253" s="31">
        <f t="shared" ref="S253:S261" si="19">S252+1</f>
        <v>2</v>
      </c>
      <c r="T253" s="119"/>
      <c r="U253" s="31" t="s">
        <v>1048</v>
      </c>
      <c r="V253" s="31" t="s">
        <v>1049</v>
      </c>
      <c r="W253" s="31" t="s">
        <v>1050</v>
      </c>
      <c r="X253" s="31" t="s">
        <v>141</v>
      </c>
      <c r="Y253" s="31" t="s">
        <v>142</v>
      </c>
      <c r="Z253" s="31">
        <v>15</v>
      </c>
      <c r="AA253" s="43"/>
      <c r="AB253" s="31"/>
      <c r="AC253" s="31"/>
      <c r="AD253" s="87"/>
      <c r="AE253" s="31" t="s">
        <v>1051</v>
      </c>
    </row>
    <row r="254" s="2" customFormat="1" ht="33.75" spans="1:31">
      <c r="A254" s="31">
        <f t="shared" ref="A254:A278" si="20">A253+1</f>
        <v>3</v>
      </c>
      <c r="B254" s="119"/>
      <c r="C254" s="31" t="s">
        <v>1052</v>
      </c>
      <c r="D254" s="31" t="s">
        <v>1053</v>
      </c>
      <c r="E254" s="31" t="s">
        <v>1054</v>
      </c>
      <c r="F254" s="31" t="s">
        <v>141</v>
      </c>
      <c r="G254" s="31" t="s">
        <v>142</v>
      </c>
      <c r="H254" s="31">
        <v>15</v>
      </c>
      <c r="I254" s="43"/>
      <c r="J254" s="31"/>
      <c r="K254" s="31"/>
      <c r="L254" s="87"/>
      <c r="M254" s="31"/>
      <c r="P254" s="70"/>
      <c r="S254" s="31">
        <f t="shared" si="19"/>
        <v>3</v>
      </c>
      <c r="T254" s="119"/>
      <c r="U254" s="31" t="s">
        <v>1052</v>
      </c>
      <c r="V254" s="31" t="s">
        <v>1053</v>
      </c>
      <c r="W254" s="31" t="s">
        <v>1055</v>
      </c>
      <c r="X254" s="31" t="s">
        <v>141</v>
      </c>
      <c r="Y254" s="31" t="s">
        <v>142</v>
      </c>
      <c r="Z254" s="31">
        <v>15</v>
      </c>
      <c r="AA254" s="43"/>
      <c r="AB254" s="31"/>
      <c r="AC254" s="31"/>
      <c r="AD254" s="87"/>
      <c r="AE254" s="31"/>
    </row>
    <row r="255" s="2" customFormat="1" ht="33.75" spans="1:31">
      <c r="A255" s="31">
        <f t="shared" si="20"/>
        <v>4</v>
      </c>
      <c r="B255" s="119"/>
      <c r="C255" s="31" t="s">
        <v>1056</v>
      </c>
      <c r="D255" s="31" t="s">
        <v>1057</v>
      </c>
      <c r="E255" s="31" t="s">
        <v>1058</v>
      </c>
      <c r="F255" s="31" t="s">
        <v>141</v>
      </c>
      <c r="G255" s="31" t="s">
        <v>142</v>
      </c>
      <c r="H255" s="31">
        <v>15</v>
      </c>
      <c r="I255" s="43"/>
      <c r="J255" s="31"/>
      <c r="K255" s="31"/>
      <c r="L255" s="87"/>
      <c r="M255" s="31"/>
      <c r="P255" s="70"/>
      <c r="S255" s="31">
        <f t="shared" si="19"/>
        <v>4</v>
      </c>
      <c r="T255" s="119"/>
      <c r="U255" s="31" t="s">
        <v>1056</v>
      </c>
      <c r="V255" s="31" t="s">
        <v>1057</v>
      </c>
      <c r="W255" s="31" t="s">
        <v>1058</v>
      </c>
      <c r="X255" s="31" t="s">
        <v>141</v>
      </c>
      <c r="Y255" s="31" t="s">
        <v>142</v>
      </c>
      <c r="Z255" s="31">
        <v>15</v>
      </c>
      <c r="AA255" s="43"/>
      <c r="AB255" s="31"/>
      <c r="AC255" s="31"/>
      <c r="AD255" s="87"/>
      <c r="AE255" s="31"/>
    </row>
    <row r="256" s="2" customFormat="1" ht="33.75" spans="1:31">
      <c r="A256" s="31">
        <f t="shared" si="20"/>
        <v>5</v>
      </c>
      <c r="B256" s="119"/>
      <c r="C256" s="31" t="s">
        <v>1059</v>
      </c>
      <c r="D256" s="31" t="s">
        <v>1060</v>
      </c>
      <c r="E256" s="31" t="s">
        <v>1061</v>
      </c>
      <c r="F256" s="31" t="s">
        <v>141</v>
      </c>
      <c r="G256" s="31" t="s">
        <v>142</v>
      </c>
      <c r="H256" s="31">
        <v>15</v>
      </c>
      <c r="I256" s="43"/>
      <c r="J256" s="31"/>
      <c r="K256" s="31"/>
      <c r="L256" s="87"/>
      <c r="M256" s="31" t="s">
        <v>156</v>
      </c>
      <c r="P256" s="70"/>
      <c r="S256" s="31">
        <f t="shared" si="19"/>
        <v>5</v>
      </c>
      <c r="T256" s="119"/>
      <c r="U256" s="31" t="s">
        <v>1059</v>
      </c>
      <c r="V256" s="31" t="s">
        <v>1060</v>
      </c>
      <c r="W256" s="31" t="s">
        <v>1061</v>
      </c>
      <c r="X256" s="31" t="s">
        <v>141</v>
      </c>
      <c r="Y256" s="31" t="s">
        <v>142</v>
      </c>
      <c r="Z256" s="31">
        <v>15</v>
      </c>
      <c r="AA256" s="43"/>
      <c r="AB256" s="31"/>
      <c r="AC256" s="31"/>
      <c r="AD256" s="87"/>
      <c r="AE256" s="31" t="s">
        <v>349</v>
      </c>
    </row>
    <row r="257" s="2" customFormat="1" ht="22.5" spans="1:31">
      <c r="A257" s="31">
        <f t="shared" si="20"/>
        <v>6</v>
      </c>
      <c r="B257" s="119"/>
      <c r="C257" s="31" t="s">
        <v>1062</v>
      </c>
      <c r="D257" s="31" t="s">
        <v>1063</v>
      </c>
      <c r="E257" s="31" t="s">
        <v>1064</v>
      </c>
      <c r="F257" s="31" t="s">
        <v>141</v>
      </c>
      <c r="G257" s="31" t="s">
        <v>142</v>
      </c>
      <c r="H257" s="31">
        <v>15</v>
      </c>
      <c r="I257" s="43"/>
      <c r="J257" s="31"/>
      <c r="K257" s="31"/>
      <c r="L257" s="87"/>
      <c r="M257" s="31"/>
      <c r="P257" s="70"/>
      <c r="S257" s="31">
        <f t="shared" si="19"/>
        <v>6</v>
      </c>
      <c r="T257" s="119"/>
      <c r="U257" s="31" t="s">
        <v>1062</v>
      </c>
      <c r="V257" s="31" t="s">
        <v>1063</v>
      </c>
      <c r="W257" s="31" t="s">
        <v>1064</v>
      </c>
      <c r="X257" s="31" t="s">
        <v>141</v>
      </c>
      <c r="Y257" s="31" t="s">
        <v>142</v>
      </c>
      <c r="Z257" s="31">
        <v>15</v>
      </c>
      <c r="AA257" s="43"/>
      <c r="AB257" s="31"/>
      <c r="AC257" s="31"/>
      <c r="AD257" s="87"/>
      <c r="AE257" s="31"/>
    </row>
    <row r="258" s="2" customFormat="1" ht="33.75" spans="1:31">
      <c r="A258" s="31">
        <f t="shared" si="20"/>
        <v>7</v>
      </c>
      <c r="B258" s="119"/>
      <c r="C258" s="31" t="s">
        <v>1065</v>
      </c>
      <c r="D258" s="31" t="s">
        <v>1066</v>
      </c>
      <c r="E258" s="31" t="s">
        <v>1067</v>
      </c>
      <c r="F258" s="31" t="s">
        <v>141</v>
      </c>
      <c r="G258" s="31" t="s">
        <v>142</v>
      </c>
      <c r="H258" s="31">
        <v>15</v>
      </c>
      <c r="I258" s="43"/>
      <c r="J258" s="31"/>
      <c r="K258" s="31"/>
      <c r="L258" s="87"/>
      <c r="M258" s="31" t="s">
        <v>1068</v>
      </c>
      <c r="P258" s="70"/>
      <c r="S258" s="31">
        <f t="shared" si="19"/>
        <v>7</v>
      </c>
      <c r="T258" s="119"/>
      <c r="U258" s="31" t="s">
        <v>1065</v>
      </c>
      <c r="V258" s="31" t="s">
        <v>1066</v>
      </c>
      <c r="W258" s="31" t="s">
        <v>1067</v>
      </c>
      <c r="X258" s="31" t="s">
        <v>141</v>
      </c>
      <c r="Y258" s="31" t="s">
        <v>142</v>
      </c>
      <c r="Z258" s="31">
        <v>15</v>
      </c>
      <c r="AA258" s="43"/>
      <c r="AB258" s="31"/>
      <c r="AC258" s="31"/>
      <c r="AD258" s="87"/>
      <c r="AE258" s="31" t="s">
        <v>1069</v>
      </c>
    </row>
    <row r="259" s="2" customFormat="1" ht="33.75" spans="1:31">
      <c r="A259" s="31">
        <f t="shared" si="20"/>
        <v>8</v>
      </c>
      <c r="B259" s="119"/>
      <c r="C259" s="31" t="s">
        <v>1070</v>
      </c>
      <c r="D259" s="31" t="s">
        <v>1071</v>
      </c>
      <c r="E259" s="31" t="s">
        <v>1072</v>
      </c>
      <c r="F259" s="31" t="s">
        <v>141</v>
      </c>
      <c r="G259" s="31" t="s">
        <v>142</v>
      </c>
      <c r="H259" s="31">
        <v>15</v>
      </c>
      <c r="I259" s="43"/>
      <c r="J259" s="31"/>
      <c r="K259" s="31"/>
      <c r="L259" s="87"/>
      <c r="M259" s="31" t="s">
        <v>1073</v>
      </c>
      <c r="P259" s="70"/>
      <c r="S259" s="31">
        <f t="shared" si="19"/>
        <v>8</v>
      </c>
      <c r="T259" s="119"/>
      <c r="U259" s="31" t="s">
        <v>1070</v>
      </c>
      <c r="V259" s="31" t="s">
        <v>1071</v>
      </c>
      <c r="W259" s="31" t="s">
        <v>1072</v>
      </c>
      <c r="X259" s="31" t="s">
        <v>141</v>
      </c>
      <c r="Y259" s="31" t="s">
        <v>142</v>
      </c>
      <c r="Z259" s="31">
        <v>15</v>
      </c>
      <c r="AA259" s="43"/>
      <c r="AB259" s="31"/>
      <c r="AC259" s="31"/>
      <c r="AD259" s="87"/>
      <c r="AE259" s="31" t="s">
        <v>1074</v>
      </c>
    </row>
    <row r="260" s="2" customFormat="1" spans="1:31">
      <c r="A260" s="31">
        <f t="shared" si="20"/>
        <v>9</v>
      </c>
      <c r="B260" s="119"/>
      <c r="C260" s="31" t="s">
        <v>1075</v>
      </c>
      <c r="D260" s="31" t="s">
        <v>1076</v>
      </c>
      <c r="E260" s="121"/>
      <c r="F260" s="31" t="s">
        <v>172</v>
      </c>
      <c r="G260" s="31" t="s">
        <v>142</v>
      </c>
      <c r="H260" s="31" t="s">
        <v>8</v>
      </c>
      <c r="I260" s="43"/>
      <c r="J260" s="31"/>
      <c r="K260" s="31"/>
      <c r="L260" s="87"/>
      <c r="M260" s="31"/>
      <c r="P260" s="70"/>
      <c r="S260" s="31">
        <f t="shared" si="19"/>
        <v>9</v>
      </c>
      <c r="T260" s="119"/>
      <c r="U260" s="31" t="s">
        <v>1075</v>
      </c>
      <c r="V260" s="31" t="s">
        <v>1076</v>
      </c>
      <c r="W260" s="121"/>
      <c r="X260" s="31" t="s">
        <v>172</v>
      </c>
      <c r="Y260" s="31" t="s">
        <v>142</v>
      </c>
      <c r="Z260" s="31" t="s">
        <v>8</v>
      </c>
      <c r="AA260" s="43"/>
      <c r="AB260" s="31"/>
      <c r="AC260" s="31"/>
      <c r="AD260" s="87"/>
      <c r="AE260" s="31"/>
    </row>
    <row r="261" s="2" customFormat="1" ht="22.5" spans="1:31">
      <c r="A261" s="31">
        <f t="shared" si="20"/>
        <v>10</v>
      </c>
      <c r="B261" s="119"/>
      <c r="C261" s="31" t="s">
        <v>1077</v>
      </c>
      <c r="D261" s="31" t="s">
        <v>1078</v>
      </c>
      <c r="E261" s="31" t="s">
        <v>1079</v>
      </c>
      <c r="F261" s="31" t="s">
        <v>172</v>
      </c>
      <c r="G261" s="31" t="s">
        <v>142</v>
      </c>
      <c r="H261" s="31" t="s">
        <v>8</v>
      </c>
      <c r="I261" s="43"/>
      <c r="J261" s="31"/>
      <c r="K261" s="31"/>
      <c r="L261" s="87"/>
      <c r="M261" s="31"/>
      <c r="P261" s="70"/>
      <c r="S261" s="31">
        <f t="shared" si="19"/>
        <v>10</v>
      </c>
      <c r="T261" s="119"/>
      <c r="U261" s="31" t="s">
        <v>1077</v>
      </c>
      <c r="V261" s="31" t="s">
        <v>1078</v>
      </c>
      <c r="W261" s="31" t="s">
        <v>1080</v>
      </c>
      <c r="X261" s="31" t="s">
        <v>172</v>
      </c>
      <c r="Y261" s="31" t="s">
        <v>142</v>
      </c>
      <c r="Z261" s="31" t="s">
        <v>8</v>
      </c>
      <c r="AA261" s="43"/>
      <c r="AB261" s="31"/>
      <c r="AC261" s="31"/>
      <c r="AD261" s="87"/>
      <c r="AE261" s="31"/>
    </row>
    <row r="262" s="2" customFormat="1" spans="1:31">
      <c r="A262" s="31">
        <f t="shared" si="20"/>
        <v>11</v>
      </c>
      <c r="B262" s="119"/>
      <c r="C262" s="31" t="s">
        <v>1081</v>
      </c>
      <c r="D262" s="31" t="s">
        <v>1082</v>
      </c>
      <c r="E262" s="121"/>
      <c r="F262" s="31" t="s">
        <v>172</v>
      </c>
      <c r="G262" s="31" t="s">
        <v>142</v>
      </c>
      <c r="H262" s="31" t="s">
        <v>8</v>
      </c>
      <c r="I262" s="43"/>
      <c r="J262" s="31"/>
      <c r="K262" s="31"/>
      <c r="L262" s="87"/>
      <c r="M262" s="31"/>
      <c r="P262" s="70"/>
      <c r="S262" s="31">
        <f t="shared" ref="S262:S278" si="21">S261+1</f>
        <v>11</v>
      </c>
      <c r="T262" s="119"/>
      <c r="U262" s="31" t="s">
        <v>1081</v>
      </c>
      <c r="V262" s="31" t="s">
        <v>1082</v>
      </c>
      <c r="W262" s="121"/>
      <c r="X262" s="31" t="s">
        <v>172</v>
      </c>
      <c r="Y262" s="31" t="s">
        <v>142</v>
      </c>
      <c r="Z262" s="31" t="s">
        <v>8</v>
      </c>
      <c r="AA262" s="43"/>
      <c r="AB262" s="31"/>
      <c r="AC262" s="31"/>
      <c r="AD262" s="87"/>
      <c r="AE262" s="31"/>
    </row>
    <row r="263" s="2" customFormat="1" spans="1:31">
      <c r="A263" s="31">
        <f t="shared" si="20"/>
        <v>12</v>
      </c>
      <c r="B263" s="119"/>
      <c r="C263" s="31" t="s">
        <v>1083</v>
      </c>
      <c r="D263" s="31" t="s">
        <v>1084</v>
      </c>
      <c r="E263" s="121"/>
      <c r="F263" s="31" t="s">
        <v>172</v>
      </c>
      <c r="G263" s="31" t="s">
        <v>142</v>
      </c>
      <c r="H263" s="31" t="s">
        <v>8</v>
      </c>
      <c r="I263" s="43"/>
      <c r="J263" s="31"/>
      <c r="K263" s="31"/>
      <c r="L263" s="87"/>
      <c r="M263" s="31"/>
      <c r="P263" s="70"/>
      <c r="S263" s="31">
        <f t="shared" si="21"/>
        <v>12</v>
      </c>
      <c r="T263" s="119"/>
      <c r="U263" s="31" t="s">
        <v>1083</v>
      </c>
      <c r="V263" s="31" t="s">
        <v>1084</v>
      </c>
      <c r="W263" s="121"/>
      <c r="X263" s="31" t="s">
        <v>172</v>
      </c>
      <c r="Y263" s="31" t="s">
        <v>142</v>
      </c>
      <c r="Z263" s="31" t="s">
        <v>8</v>
      </c>
      <c r="AA263" s="43"/>
      <c r="AB263" s="31"/>
      <c r="AC263" s="31"/>
      <c r="AD263" s="87"/>
      <c r="AE263" s="31"/>
    </row>
    <row r="264" s="2" customFormat="1" ht="22.5" spans="1:31">
      <c r="A264" s="31">
        <f t="shared" si="20"/>
        <v>13</v>
      </c>
      <c r="B264" s="119"/>
      <c r="C264" s="31" t="s">
        <v>1085</v>
      </c>
      <c r="D264" s="31" t="s">
        <v>1086</v>
      </c>
      <c r="E264" s="121"/>
      <c r="F264" s="31" t="s">
        <v>172</v>
      </c>
      <c r="G264" s="31" t="s">
        <v>142</v>
      </c>
      <c r="H264" s="31" t="s">
        <v>8</v>
      </c>
      <c r="I264" s="43"/>
      <c r="J264" s="31"/>
      <c r="K264" s="31"/>
      <c r="L264" s="87"/>
      <c r="M264" s="31"/>
      <c r="P264" s="70"/>
      <c r="S264" s="31">
        <f t="shared" si="21"/>
        <v>13</v>
      </c>
      <c r="T264" s="119"/>
      <c r="U264" s="31" t="s">
        <v>1085</v>
      </c>
      <c r="V264" s="31" t="s">
        <v>1086</v>
      </c>
      <c r="W264" s="121"/>
      <c r="X264" s="31" t="s">
        <v>172</v>
      </c>
      <c r="Y264" s="31" t="s">
        <v>142</v>
      </c>
      <c r="Z264" s="31" t="s">
        <v>8</v>
      </c>
      <c r="AA264" s="43"/>
      <c r="AB264" s="31"/>
      <c r="AC264" s="31"/>
      <c r="AD264" s="87"/>
      <c r="AE264" s="31"/>
    </row>
    <row r="265" s="2" customFormat="1" ht="22.5" spans="1:31">
      <c r="A265" s="31">
        <f t="shared" si="20"/>
        <v>14</v>
      </c>
      <c r="B265" s="119"/>
      <c r="C265" s="31" t="s">
        <v>1087</v>
      </c>
      <c r="D265" s="31" t="s">
        <v>1088</v>
      </c>
      <c r="E265" s="121"/>
      <c r="F265" s="31" t="s">
        <v>172</v>
      </c>
      <c r="G265" s="31" t="s">
        <v>142</v>
      </c>
      <c r="H265" s="31" t="s">
        <v>8</v>
      </c>
      <c r="I265" s="43"/>
      <c r="J265" s="31"/>
      <c r="K265" s="31"/>
      <c r="L265" s="87"/>
      <c r="M265" s="31"/>
      <c r="P265" s="70"/>
      <c r="S265" s="31">
        <f t="shared" si="21"/>
        <v>14</v>
      </c>
      <c r="T265" s="119"/>
      <c r="U265" s="31" t="s">
        <v>1087</v>
      </c>
      <c r="V265" s="31" t="s">
        <v>1088</v>
      </c>
      <c r="W265" s="121"/>
      <c r="X265" s="31" t="s">
        <v>172</v>
      </c>
      <c r="Y265" s="31" t="s">
        <v>142</v>
      </c>
      <c r="Z265" s="31" t="s">
        <v>8</v>
      </c>
      <c r="AA265" s="43"/>
      <c r="AB265" s="31"/>
      <c r="AC265" s="31"/>
      <c r="AD265" s="87"/>
      <c r="AE265" s="31"/>
    </row>
    <row r="266" s="2" customFormat="1" spans="1:31">
      <c r="A266" s="31">
        <f t="shared" ref="A266:A271" si="22">A265+1</f>
        <v>15</v>
      </c>
      <c r="B266" s="119"/>
      <c r="C266" s="31" t="s">
        <v>1089</v>
      </c>
      <c r="D266" s="31" t="s">
        <v>1090</v>
      </c>
      <c r="E266" s="121"/>
      <c r="F266" s="31" t="s">
        <v>172</v>
      </c>
      <c r="G266" s="31" t="s">
        <v>142</v>
      </c>
      <c r="H266" s="31" t="s">
        <v>8</v>
      </c>
      <c r="I266" s="43"/>
      <c r="J266" s="31"/>
      <c r="K266" s="31"/>
      <c r="L266" s="87"/>
      <c r="M266" s="31"/>
      <c r="P266" s="70"/>
      <c r="S266" s="31">
        <f t="shared" si="21"/>
        <v>15</v>
      </c>
      <c r="T266" s="119"/>
      <c r="U266" s="31" t="s">
        <v>1089</v>
      </c>
      <c r="V266" s="31" t="s">
        <v>1090</v>
      </c>
      <c r="W266" s="121"/>
      <c r="X266" s="31" t="s">
        <v>172</v>
      </c>
      <c r="Y266" s="31" t="s">
        <v>142</v>
      </c>
      <c r="Z266" s="31" t="s">
        <v>8</v>
      </c>
      <c r="AA266" s="43"/>
      <c r="AB266" s="31"/>
      <c r="AC266" s="31"/>
      <c r="AD266" s="87"/>
      <c r="AE266" s="31"/>
    </row>
    <row r="267" s="2" customFormat="1" spans="1:31">
      <c r="A267" s="31">
        <f t="shared" si="22"/>
        <v>16</v>
      </c>
      <c r="B267" s="119"/>
      <c r="C267" s="31" t="s">
        <v>1091</v>
      </c>
      <c r="D267" s="31" t="s">
        <v>1092</v>
      </c>
      <c r="E267" s="121"/>
      <c r="F267" s="31" t="s">
        <v>172</v>
      </c>
      <c r="G267" s="31" t="s">
        <v>142</v>
      </c>
      <c r="H267" s="31" t="s">
        <v>8</v>
      </c>
      <c r="I267" s="43"/>
      <c r="J267" s="31"/>
      <c r="K267" s="31"/>
      <c r="L267" s="87"/>
      <c r="M267" s="31"/>
      <c r="P267" s="70"/>
      <c r="S267" s="31">
        <f t="shared" si="21"/>
        <v>16</v>
      </c>
      <c r="T267" s="119"/>
      <c r="U267" s="31" t="s">
        <v>1091</v>
      </c>
      <c r="V267" s="31" t="s">
        <v>1092</v>
      </c>
      <c r="W267" s="121"/>
      <c r="X267" s="31" t="s">
        <v>172</v>
      </c>
      <c r="Y267" s="31" t="s">
        <v>142</v>
      </c>
      <c r="Z267" s="31" t="s">
        <v>8</v>
      </c>
      <c r="AA267" s="43"/>
      <c r="AB267" s="31"/>
      <c r="AC267" s="31"/>
      <c r="AD267" s="87"/>
      <c r="AE267" s="31"/>
    </row>
    <row r="268" s="2" customFormat="1" spans="1:31">
      <c r="A268" s="31">
        <f t="shared" si="22"/>
        <v>17</v>
      </c>
      <c r="B268" s="119"/>
      <c r="C268" s="31" t="s">
        <v>1093</v>
      </c>
      <c r="D268" s="31" t="s">
        <v>1094</v>
      </c>
      <c r="E268" s="121"/>
      <c r="F268" s="31" t="s">
        <v>172</v>
      </c>
      <c r="G268" s="31" t="s">
        <v>142</v>
      </c>
      <c r="H268" s="31" t="s">
        <v>8</v>
      </c>
      <c r="I268" s="43"/>
      <c r="J268" s="31"/>
      <c r="K268" s="31"/>
      <c r="L268" s="87"/>
      <c r="M268" s="31"/>
      <c r="P268" s="70"/>
      <c r="S268" s="31">
        <f t="shared" si="21"/>
        <v>17</v>
      </c>
      <c r="T268" s="119"/>
      <c r="U268" s="31" t="s">
        <v>1093</v>
      </c>
      <c r="V268" s="31" t="s">
        <v>1094</v>
      </c>
      <c r="W268" s="121"/>
      <c r="X268" s="31" t="s">
        <v>172</v>
      </c>
      <c r="Y268" s="31" t="s">
        <v>142</v>
      </c>
      <c r="Z268" s="31" t="s">
        <v>8</v>
      </c>
      <c r="AA268" s="43"/>
      <c r="AB268" s="31"/>
      <c r="AC268" s="31"/>
      <c r="AD268" s="87"/>
      <c r="AE268" s="31"/>
    </row>
    <row r="269" s="2" customFormat="1" spans="1:31">
      <c r="A269" s="31">
        <f t="shared" si="22"/>
        <v>18</v>
      </c>
      <c r="B269" s="119"/>
      <c r="C269" s="31" t="s">
        <v>1095</v>
      </c>
      <c r="D269" s="31" t="s">
        <v>1096</v>
      </c>
      <c r="E269" s="121"/>
      <c r="F269" s="31" t="s">
        <v>172</v>
      </c>
      <c r="G269" s="31" t="s">
        <v>142</v>
      </c>
      <c r="H269" s="31" t="s">
        <v>8</v>
      </c>
      <c r="I269" s="43"/>
      <c r="J269" s="31"/>
      <c r="K269" s="31"/>
      <c r="L269" s="87"/>
      <c r="M269" s="31"/>
      <c r="P269" s="70"/>
      <c r="S269" s="31">
        <f t="shared" si="21"/>
        <v>18</v>
      </c>
      <c r="T269" s="119"/>
      <c r="U269" s="31" t="s">
        <v>1095</v>
      </c>
      <c r="V269" s="31" t="s">
        <v>1096</v>
      </c>
      <c r="W269" s="121"/>
      <c r="X269" s="31" t="s">
        <v>172</v>
      </c>
      <c r="Y269" s="31" t="s">
        <v>142</v>
      </c>
      <c r="Z269" s="31" t="s">
        <v>8</v>
      </c>
      <c r="AA269" s="43"/>
      <c r="AB269" s="31"/>
      <c r="AC269" s="31"/>
      <c r="AD269" s="87"/>
      <c r="AE269" s="31"/>
    </row>
    <row r="270" s="2" customFormat="1" spans="1:31">
      <c r="A270" s="31">
        <f t="shared" si="22"/>
        <v>19</v>
      </c>
      <c r="B270" s="119"/>
      <c r="C270" s="31" t="s">
        <v>1097</v>
      </c>
      <c r="D270" s="31" t="s">
        <v>1098</v>
      </c>
      <c r="E270" s="121"/>
      <c r="F270" s="31" t="s">
        <v>172</v>
      </c>
      <c r="G270" s="31" t="s">
        <v>142</v>
      </c>
      <c r="H270" s="31" t="s">
        <v>8</v>
      </c>
      <c r="I270" s="43"/>
      <c r="J270" s="31"/>
      <c r="K270" s="31"/>
      <c r="L270" s="87"/>
      <c r="M270" s="31"/>
      <c r="P270" s="70"/>
      <c r="S270" s="31">
        <f t="shared" si="21"/>
        <v>19</v>
      </c>
      <c r="T270" s="119"/>
      <c r="U270" s="31" t="s">
        <v>1097</v>
      </c>
      <c r="V270" s="31" t="s">
        <v>1098</v>
      </c>
      <c r="W270" s="121"/>
      <c r="X270" s="31" t="s">
        <v>172</v>
      </c>
      <c r="Y270" s="31" t="s">
        <v>142</v>
      </c>
      <c r="Z270" s="31" t="s">
        <v>8</v>
      </c>
      <c r="AA270" s="43"/>
      <c r="AB270" s="31"/>
      <c r="AC270" s="31"/>
      <c r="AD270" s="87"/>
      <c r="AE270" s="31"/>
    </row>
    <row r="271" s="2" customFormat="1" ht="22.5" spans="1:31">
      <c r="A271" s="33">
        <f t="shared" si="22"/>
        <v>20</v>
      </c>
      <c r="B271" s="34"/>
      <c r="C271" s="33" t="s">
        <v>150</v>
      </c>
      <c r="D271" s="35" t="s">
        <v>151</v>
      </c>
      <c r="E271" s="33" t="s">
        <v>152</v>
      </c>
      <c r="F271" s="33" t="s">
        <v>153</v>
      </c>
      <c r="G271" s="33" t="s">
        <v>154</v>
      </c>
      <c r="H271" s="33" t="s">
        <v>8</v>
      </c>
      <c r="I271" s="45" t="s">
        <v>22</v>
      </c>
      <c r="J271" s="225" t="s">
        <v>155</v>
      </c>
      <c r="K271" s="33"/>
      <c r="L271" s="33"/>
      <c r="M271" s="33" t="s">
        <v>156</v>
      </c>
      <c r="P271" s="70"/>
      <c r="S271" s="33">
        <f t="shared" si="21"/>
        <v>20</v>
      </c>
      <c r="T271" s="34"/>
      <c r="U271" s="33" t="s">
        <v>150</v>
      </c>
      <c r="V271" s="35" t="s">
        <v>151</v>
      </c>
      <c r="W271" s="33" t="s">
        <v>644</v>
      </c>
      <c r="X271" s="33" t="s">
        <v>153</v>
      </c>
      <c r="Y271" s="33" t="s">
        <v>154</v>
      </c>
      <c r="Z271" s="33" t="s">
        <v>8</v>
      </c>
      <c r="AA271" s="45" t="s">
        <v>22</v>
      </c>
      <c r="AB271" s="225" t="s">
        <v>155</v>
      </c>
      <c r="AC271" s="33"/>
      <c r="AD271" s="33"/>
      <c r="AE271" s="33" t="s">
        <v>349</v>
      </c>
    </row>
    <row r="272" s="2" customFormat="1" spans="1:31">
      <c r="A272" s="33">
        <f t="shared" si="20"/>
        <v>21</v>
      </c>
      <c r="B272" s="34"/>
      <c r="C272" s="33" t="s">
        <v>159</v>
      </c>
      <c r="D272" s="35" t="s">
        <v>160</v>
      </c>
      <c r="E272" s="33" t="s">
        <v>161</v>
      </c>
      <c r="F272" s="33" t="s">
        <v>153</v>
      </c>
      <c r="G272" s="33" t="s">
        <v>162</v>
      </c>
      <c r="H272" s="33"/>
      <c r="I272" s="45" t="s">
        <v>22</v>
      </c>
      <c r="J272" s="33">
        <v>0</v>
      </c>
      <c r="K272" s="33"/>
      <c r="L272" s="33"/>
      <c r="M272" s="33"/>
      <c r="P272" s="70"/>
      <c r="S272" s="33">
        <f t="shared" si="21"/>
        <v>21</v>
      </c>
      <c r="T272" s="34"/>
      <c r="U272" s="33" t="s">
        <v>159</v>
      </c>
      <c r="V272" s="35" t="s">
        <v>160</v>
      </c>
      <c r="W272" s="33" t="s">
        <v>163</v>
      </c>
      <c r="X272" s="33" t="s">
        <v>153</v>
      </c>
      <c r="Y272" s="33" t="s">
        <v>162</v>
      </c>
      <c r="Z272" s="33"/>
      <c r="AA272" s="45" t="s">
        <v>22</v>
      </c>
      <c r="AB272" s="33">
        <v>0</v>
      </c>
      <c r="AC272" s="33"/>
      <c r="AD272" s="33"/>
      <c r="AE272" s="33"/>
    </row>
    <row r="273" s="2" customFormat="1" spans="1:31">
      <c r="A273" s="33">
        <f t="shared" si="20"/>
        <v>22</v>
      </c>
      <c r="B273" s="34"/>
      <c r="C273" s="33" t="s">
        <v>164</v>
      </c>
      <c r="D273" s="35" t="s">
        <v>165</v>
      </c>
      <c r="E273" s="33"/>
      <c r="F273" s="33" t="s">
        <v>141</v>
      </c>
      <c r="G273" s="33" t="s">
        <v>142</v>
      </c>
      <c r="H273" s="33">
        <v>32</v>
      </c>
      <c r="I273" s="45"/>
      <c r="J273" s="33"/>
      <c r="K273" s="33"/>
      <c r="L273" s="33"/>
      <c r="M273" s="33"/>
      <c r="P273" s="70"/>
      <c r="S273" s="33">
        <f t="shared" si="21"/>
        <v>22</v>
      </c>
      <c r="T273" s="34"/>
      <c r="U273" s="33" t="s">
        <v>164</v>
      </c>
      <c r="V273" s="35" t="s">
        <v>165</v>
      </c>
      <c r="W273" s="33"/>
      <c r="X273" s="33" t="s">
        <v>141</v>
      </c>
      <c r="Y273" s="33" t="s">
        <v>142</v>
      </c>
      <c r="Z273" s="33">
        <v>32</v>
      </c>
      <c r="AA273" s="45"/>
      <c r="AB273" s="33"/>
      <c r="AC273" s="33"/>
      <c r="AD273" s="33"/>
      <c r="AE273" s="33"/>
    </row>
    <row r="274" s="2" customFormat="1" spans="1:31">
      <c r="A274" s="33">
        <f t="shared" si="20"/>
        <v>23</v>
      </c>
      <c r="B274" s="34"/>
      <c r="C274" s="33" t="s">
        <v>166</v>
      </c>
      <c r="D274" s="35" t="s">
        <v>167</v>
      </c>
      <c r="E274" s="33"/>
      <c r="F274" s="33" t="s">
        <v>153</v>
      </c>
      <c r="G274" s="33" t="s">
        <v>142</v>
      </c>
      <c r="H274" s="33">
        <v>32</v>
      </c>
      <c r="I274" s="45"/>
      <c r="J274" s="33"/>
      <c r="K274" s="33"/>
      <c r="L274" s="33"/>
      <c r="M274" s="33" t="s">
        <v>168</v>
      </c>
      <c r="P274" s="70"/>
      <c r="S274" s="33">
        <f t="shared" si="21"/>
        <v>23</v>
      </c>
      <c r="T274" s="34"/>
      <c r="U274" s="33" t="s">
        <v>166</v>
      </c>
      <c r="V274" s="35" t="s">
        <v>167</v>
      </c>
      <c r="W274" s="33"/>
      <c r="X274" s="33" t="s">
        <v>153</v>
      </c>
      <c r="Y274" s="33" t="s">
        <v>142</v>
      </c>
      <c r="Z274" s="33">
        <v>32</v>
      </c>
      <c r="AA274" s="45"/>
      <c r="AB274" s="33"/>
      <c r="AC274" s="33"/>
      <c r="AD274" s="33"/>
      <c r="AE274" s="33" t="s">
        <v>169</v>
      </c>
    </row>
    <row r="275" s="2" customFormat="1" spans="1:31">
      <c r="A275" s="33">
        <f t="shared" si="20"/>
        <v>24</v>
      </c>
      <c r="B275" s="34"/>
      <c r="C275" s="36" t="s">
        <v>170</v>
      </c>
      <c r="D275" s="35" t="s">
        <v>171</v>
      </c>
      <c r="E275" s="33"/>
      <c r="F275" s="33" t="s">
        <v>172</v>
      </c>
      <c r="G275" s="33" t="s">
        <v>173</v>
      </c>
      <c r="H275" s="33" t="s">
        <v>8</v>
      </c>
      <c r="I275" s="45" t="s">
        <v>22</v>
      </c>
      <c r="J275" s="33"/>
      <c r="K275" s="33"/>
      <c r="L275" s="33"/>
      <c r="M275" s="33"/>
      <c r="P275" s="70"/>
      <c r="S275" s="33">
        <f t="shared" si="21"/>
        <v>24</v>
      </c>
      <c r="T275" s="34"/>
      <c r="U275" s="33" t="s">
        <v>351</v>
      </c>
      <c r="V275" s="35" t="s">
        <v>171</v>
      </c>
      <c r="W275" s="33"/>
      <c r="X275" s="33" t="s">
        <v>172</v>
      </c>
      <c r="Y275" s="33" t="s">
        <v>173</v>
      </c>
      <c r="Z275" s="33" t="s">
        <v>8</v>
      </c>
      <c r="AA275" s="45" t="s">
        <v>22</v>
      </c>
      <c r="AB275" s="33"/>
      <c r="AC275" s="33"/>
      <c r="AD275" s="33"/>
      <c r="AE275" s="33"/>
    </row>
    <row r="276" s="2" customFormat="1" spans="1:31">
      <c r="A276" s="33">
        <f t="shared" si="20"/>
        <v>25</v>
      </c>
      <c r="B276" s="34"/>
      <c r="C276" s="33" t="s">
        <v>174</v>
      </c>
      <c r="D276" s="35" t="s">
        <v>175</v>
      </c>
      <c r="E276" s="33"/>
      <c r="F276" s="33" t="s">
        <v>141</v>
      </c>
      <c r="G276" s="33" t="s">
        <v>142</v>
      </c>
      <c r="H276" s="33">
        <v>32</v>
      </c>
      <c r="I276" s="45"/>
      <c r="J276" s="33"/>
      <c r="K276" s="33"/>
      <c r="L276" s="33"/>
      <c r="M276" s="33"/>
      <c r="P276" s="70"/>
      <c r="S276" s="33">
        <f t="shared" si="21"/>
        <v>25</v>
      </c>
      <c r="T276" s="34"/>
      <c r="U276" s="33" t="s">
        <v>174</v>
      </c>
      <c r="V276" s="35" t="s">
        <v>175</v>
      </c>
      <c r="W276" s="33"/>
      <c r="X276" s="33" t="s">
        <v>141</v>
      </c>
      <c r="Y276" s="33" t="s">
        <v>142</v>
      </c>
      <c r="Z276" s="33">
        <v>32</v>
      </c>
      <c r="AA276" s="45"/>
      <c r="AB276" s="33"/>
      <c r="AC276" s="33"/>
      <c r="AD276" s="33"/>
      <c r="AE276" s="33"/>
    </row>
    <row r="277" s="2" customFormat="1" ht="22.5" spans="1:31">
      <c r="A277" s="33">
        <f t="shared" si="20"/>
        <v>26</v>
      </c>
      <c r="B277" s="34"/>
      <c r="C277" s="33" t="s">
        <v>176</v>
      </c>
      <c r="D277" s="35" t="s">
        <v>177</v>
      </c>
      <c r="E277" s="33" t="s">
        <v>178</v>
      </c>
      <c r="F277" s="33" t="s">
        <v>153</v>
      </c>
      <c r="G277" s="33" t="s">
        <v>142</v>
      </c>
      <c r="H277" s="33">
        <v>32</v>
      </c>
      <c r="I277" s="45"/>
      <c r="J277" s="33"/>
      <c r="K277" s="33"/>
      <c r="L277" s="33"/>
      <c r="M277" s="33" t="s">
        <v>179</v>
      </c>
      <c r="P277" s="70"/>
      <c r="S277" s="33">
        <f t="shared" si="21"/>
        <v>26</v>
      </c>
      <c r="T277" s="34"/>
      <c r="U277" s="33" t="s">
        <v>176</v>
      </c>
      <c r="V277" s="35" t="s">
        <v>177</v>
      </c>
      <c r="W277" s="33" t="s">
        <v>1099</v>
      </c>
      <c r="X277" s="33" t="s">
        <v>153</v>
      </c>
      <c r="Y277" s="33" t="s">
        <v>142</v>
      </c>
      <c r="Z277" s="33">
        <v>32</v>
      </c>
      <c r="AA277" s="45"/>
      <c r="AB277" s="33"/>
      <c r="AC277" s="33"/>
      <c r="AD277" s="33"/>
      <c r="AE277" s="33" t="s">
        <v>645</v>
      </c>
    </row>
    <row r="278" s="2" customFormat="1" spans="1:31">
      <c r="A278" s="33">
        <f t="shared" si="20"/>
        <v>27</v>
      </c>
      <c r="B278" s="34"/>
      <c r="C278" s="36" t="s">
        <v>182</v>
      </c>
      <c r="D278" s="35" t="s">
        <v>183</v>
      </c>
      <c r="E278" s="33"/>
      <c r="F278" s="33" t="s">
        <v>172</v>
      </c>
      <c r="G278" s="33" t="s">
        <v>173</v>
      </c>
      <c r="H278" s="33" t="s">
        <v>8</v>
      </c>
      <c r="I278" s="45" t="s">
        <v>22</v>
      </c>
      <c r="J278" s="33"/>
      <c r="K278" s="33"/>
      <c r="L278" s="33"/>
      <c r="M278" s="33"/>
      <c r="P278" s="70"/>
      <c r="S278" s="33">
        <f t="shared" si="21"/>
        <v>27</v>
      </c>
      <c r="T278" s="34"/>
      <c r="U278" s="33" t="s">
        <v>353</v>
      </c>
      <c r="V278" s="35" t="s">
        <v>183</v>
      </c>
      <c r="W278" s="33"/>
      <c r="X278" s="33" t="s">
        <v>172</v>
      </c>
      <c r="Y278" s="33" t="s">
        <v>173</v>
      </c>
      <c r="Z278" s="33" t="s">
        <v>8</v>
      </c>
      <c r="AA278" s="45" t="s">
        <v>22</v>
      </c>
      <c r="AB278" s="33"/>
      <c r="AC278" s="33"/>
      <c r="AD278" s="33"/>
      <c r="AE278" s="33"/>
    </row>
    <row r="281" spans="4:22">
      <c r="D281" s="3" t="s">
        <v>1100</v>
      </c>
      <c r="V281" s="3" t="s">
        <v>1101</v>
      </c>
    </row>
    <row r="282" spans="4:22">
      <c r="D282" s="3" t="s">
        <v>1102</v>
      </c>
      <c r="V282" s="3" t="s">
        <v>1103</v>
      </c>
    </row>
    <row r="284" spans="4:22">
      <c r="D284" s="3" t="s">
        <v>1104</v>
      </c>
      <c r="V284" s="3" t="s">
        <v>1105</v>
      </c>
    </row>
    <row r="285" spans="4:22">
      <c r="D285" s="3" t="s">
        <v>1106</v>
      </c>
      <c r="V285" s="3" t="s">
        <v>1106</v>
      </c>
    </row>
    <row r="286" spans="4:22">
      <c r="D286" s="3" t="s">
        <v>1107</v>
      </c>
      <c r="V286" s="3" t="s">
        <v>1107</v>
      </c>
    </row>
    <row r="287" spans="4:22">
      <c r="D287" s="3" t="s">
        <v>1108</v>
      </c>
      <c r="V287" s="3" t="s">
        <v>1108</v>
      </c>
    </row>
    <row r="288" spans="4:22">
      <c r="D288" s="3" t="s">
        <v>1107</v>
      </c>
      <c r="V288" s="3" t="s">
        <v>1107</v>
      </c>
    </row>
  </sheetData>
  <conditionalFormatting sqref="D35">
    <cfRule type="dataBar" priority="33">
      <dataBar>
        <cfvo type="min"/>
        <cfvo type="max"/>
        <color rgb="FF638EC6"/>
      </dataBar>
      <extLst>
        <ext xmlns:x14="http://schemas.microsoft.com/office/spreadsheetml/2009/9/main" uri="{B025F937-C7B1-47D3-B67F-A62EFF666E3E}">
          <x14:id>{f695eee1-49c4-4555-bd57-898ea4cb91e0}</x14:id>
        </ext>
      </extLst>
    </cfRule>
  </conditionalFormatting>
  <conditionalFormatting sqref="F35">
    <cfRule type="dataBar" priority="31">
      <dataBar>
        <cfvo type="min"/>
        <cfvo type="max"/>
        <color rgb="FF638EC6"/>
      </dataBar>
      <extLst>
        <ext xmlns:x14="http://schemas.microsoft.com/office/spreadsheetml/2009/9/main" uri="{B025F937-C7B1-47D3-B67F-A62EFF666E3E}">
          <x14:id>{96e8a1c5-6d17-469d-aad5-673b91415525}</x14:id>
        </ext>
      </extLst>
    </cfRule>
  </conditionalFormatting>
  <conditionalFormatting sqref="G35">
    <cfRule type="dataBar" priority="23">
      <dataBar>
        <cfvo type="min"/>
        <cfvo type="max"/>
        <color rgb="FF638EC6"/>
      </dataBar>
      <extLst>
        <ext xmlns:x14="http://schemas.microsoft.com/office/spreadsheetml/2009/9/main" uri="{B025F937-C7B1-47D3-B67F-A62EFF666E3E}">
          <x14:id>{8999cac1-b750-4c78-9af3-ed4458d422e4}</x14:id>
        </ext>
      </extLst>
    </cfRule>
  </conditionalFormatting>
  <conditionalFormatting sqref="I35">
    <cfRule type="dataBar" priority="30">
      <dataBar>
        <cfvo type="min"/>
        <cfvo type="max"/>
        <color rgb="FF638EC6"/>
      </dataBar>
      <extLst>
        <ext xmlns:x14="http://schemas.microsoft.com/office/spreadsheetml/2009/9/main" uri="{B025F937-C7B1-47D3-B67F-A62EFF666E3E}">
          <x14:id>{2b0e3af3-eaee-4f6b-803b-9ae4125a6685}</x14:id>
        </ext>
      </extLst>
    </cfRule>
  </conditionalFormatting>
  <conditionalFormatting sqref="J35">
    <cfRule type="dataBar" priority="29">
      <dataBar>
        <cfvo type="min"/>
        <cfvo type="max"/>
        <color rgb="FF638EC6"/>
      </dataBar>
      <extLst>
        <ext xmlns:x14="http://schemas.microsoft.com/office/spreadsheetml/2009/9/main" uri="{B025F937-C7B1-47D3-B67F-A62EFF666E3E}">
          <x14:id>{c7553980-cedf-4ca6-be72-b1f4bb2f084b}</x14:id>
        </ext>
      </extLst>
    </cfRule>
  </conditionalFormatting>
  <conditionalFormatting sqref="K35">
    <cfRule type="dataBar" priority="25">
      <dataBar>
        <cfvo type="min"/>
        <cfvo type="max"/>
        <color rgb="FF638EC6"/>
      </dataBar>
      <extLst>
        <ext xmlns:x14="http://schemas.microsoft.com/office/spreadsheetml/2009/9/main" uri="{B025F937-C7B1-47D3-B67F-A62EFF666E3E}">
          <x14:id>{191866a0-96b8-459d-8f69-586805af3818}</x14:id>
        </ext>
      </extLst>
    </cfRule>
  </conditionalFormatting>
  <conditionalFormatting sqref="V35">
    <cfRule type="dataBar" priority="7">
      <dataBar>
        <cfvo type="min"/>
        <cfvo type="max"/>
        <color rgb="FF638EC6"/>
      </dataBar>
      <extLst>
        <ext xmlns:x14="http://schemas.microsoft.com/office/spreadsheetml/2009/9/main" uri="{B025F937-C7B1-47D3-B67F-A62EFF666E3E}">
          <x14:id>{d6bdf144-fbdc-42ce-a934-f54b4ac870d6}</x14:id>
        </ext>
      </extLst>
    </cfRule>
  </conditionalFormatting>
  <conditionalFormatting sqref="X35">
    <cfRule type="dataBar" priority="6">
      <dataBar>
        <cfvo type="min"/>
        <cfvo type="max"/>
        <color rgb="FF638EC6"/>
      </dataBar>
      <extLst>
        <ext xmlns:x14="http://schemas.microsoft.com/office/spreadsheetml/2009/9/main" uri="{B025F937-C7B1-47D3-B67F-A62EFF666E3E}">
          <x14:id>{c5255148-0803-497b-9d59-ebfd18658d9a}</x14:id>
        </ext>
      </extLst>
    </cfRule>
  </conditionalFormatting>
  <conditionalFormatting sqref="Y35">
    <cfRule type="dataBar" priority="1">
      <dataBar>
        <cfvo type="min"/>
        <cfvo type="max"/>
        <color rgb="FF638EC6"/>
      </dataBar>
      <extLst>
        <ext xmlns:x14="http://schemas.microsoft.com/office/spreadsheetml/2009/9/main" uri="{B025F937-C7B1-47D3-B67F-A62EFF666E3E}">
          <x14:id>{0ce7fe59-e783-44e9-aa5d-8473bd723277}</x14:id>
        </ext>
      </extLst>
    </cfRule>
  </conditionalFormatting>
  <conditionalFormatting sqref="AA35">
    <cfRule type="dataBar" priority="5">
      <dataBar>
        <cfvo type="min"/>
        <cfvo type="max"/>
        <color rgb="FF638EC6"/>
      </dataBar>
      <extLst>
        <ext xmlns:x14="http://schemas.microsoft.com/office/spreadsheetml/2009/9/main" uri="{B025F937-C7B1-47D3-B67F-A62EFF666E3E}">
          <x14:id>{b391ab29-a698-429c-aa36-ca5fb1a6967e}</x14:id>
        </ext>
      </extLst>
    </cfRule>
  </conditionalFormatting>
  <conditionalFormatting sqref="AB35">
    <cfRule type="dataBar" priority="4">
      <dataBar>
        <cfvo type="min"/>
        <cfvo type="max"/>
        <color rgb="FF638EC6"/>
      </dataBar>
      <extLst>
        <ext xmlns:x14="http://schemas.microsoft.com/office/spreadsheetml/2009/9/main" uri="{B025F937-C7B1-47D3-B67F-A62EFF666E3E}">
          <x14:id>{cedd2b91-d213-46ce-886c-71f7e0133154}</x14:id>
        </ext>
      </extLst>
    </cfRule>
  </conditionalFormatting>
  <conditionalFormatting sqref="AC35">
    <cfRule type="dataBar" priority="2">
      <dataBar>
        <cfvo type="min"/>
        <cfvo type="max"/>
        <color rgb="FF638EC6"/>
      </dataBar>
      <extLst>
        <ext xmlns:x14="http://schemas.microsoft.com/office/spreadsheetml/2009/9/main" uri="{B025F937-C7B1-47D3-B67F-A62EFF666E3E}">
          <x14:id>{46d3b1e1-b13a-42d0-aaf3-94ef50f52bd5}</x14:id>
        </ext>
      </extLst>
    </cfRule>
  </conditionalFormatting>
  <conditionalFormatting sqref="D37">
    <cfRule type="dataBar" priority="43">
      <dataBar>
        <cfvo type="min"/>
        <cfvo type="max"/>
        <color rgb="FF638EC6"/>
      </dataBar>
      <extLst>
        <ext xmlns:x14="http://schemas.microsoft.com/office/spreadsheetml/2009/9/main" uri="{B025F937-C7B1-47D3-B67F-A62EFF666E3E}">
          <x14:id>{ff7068db-fcfc-4a54-84ea-5e301a9e70eb}</x14:id>
        </ext>
      </extLst>
    </cfRule>
  </conditionalFormatting>
  <conditionalFormatting sqref="F37">
    <cfRule type="dataBar" priority="41">
      <dataBar>
        <cfvo type="min"/>
        <cfvo type="max"/>
        <color rgb="FF638EC6"/>
      </dataBar>
      <extLst>
        <ext xmlns:x14="http://schemas.microsoft.com/office/spreadsheetml/2009/9/main" uri="{B025F937-C7B1-47D3-B67F-A62EFF666E3E}">
          <x14:id>{2972d9f6-c290-4fc0-9556-283a42af61bb}</x14:id>
        </ext>
      </extLst>
    </cfRule>
  </conditionalFormatting>
  <conditionalFormatting sqref="I37">
    <cfRule type="dataBar" priority="40">
      <dataBar>
        <cfvo type="min"/>
        <cfvo type="max"/>
        <color rgb="FF638EC6"/>
      </dataBar>
      <extLst>
        <ext xmlns:x14="http://schemas.microsoft.com/office/spreadsheetml/2009/9/main" uri="{B025F937-C7B1-47D3-B67F-A62EFF666E3E}">
          <x14:id>{941e5e12-784d-4c3b-a5da-dd106f463816}</x14:id>
        </ext>
      </extLst>
    </cfRule>
  </conditionalFormatting>
  <conditionalFormatting sqref="J37">
    <cfRule type="dataBar" priority="39">
      <dataBar>
        <cfvo type="min"/>
        <cfvo type="max"/>
        <color rgb="FF638EC6"/>
      </dataBar>
      <extLst>
        <ext xmlns:x14="http://schemas.microsoft.com/office/spreadsheetml/2009/9/main" uri="{B025F937-C7B1-47D3-B67F-A62EFF666E3E}">
          <x14:id>{749a0cb3-634f-48f7-a265-c2789daa1412}</x14:id>
        </ext>
      </extLst>
    </cfRule>
  </conditionalFormatting>
  <conditionalFormatting sqref="K37">
    <cfRule type="dataBar" priority="26">
      <dataBar>
        <cfvo type="min"/>
        <cfvo type="max"/>
        <color rgb="FF638EC6"/>
      </dataBar>
      <extLst>
        <ext xmlns:x14="http://schemas.microsoft.com/office/spreadsheetml/2009/9/main" uri="{B025F937-C7B1-47D3-B67F-A62EFF666E3E}">
          <x14:id>{bf17b5c6-1926-428f-8399-409986e17ee5}</x14:id>
        </ext>
      </extLst>
    </cfRule>
  </conditionalFormatting>
  <conditionalFormatting sqref="V37">
    <cfRule type="dataBar" priority="11">
      <dataBar>
        <cfvo type="min"/>
        <cfvo type="max"/>
        <color rgb="FF638EC6"/>
      </dataBar>
      <extLst>
        <ext xmlns:x14="http://schemas.microsoft.com/office/spreadsheetml/2009/9/main" uri="{B025F937-C7B1-47D3-B67F-A62EFF666E3E}">
          <x14:id>{6f2d48ff-1e98-4fe6-b08e-3b6229d740d5}</x14:id>
        </ext>
      </extLst>
    </cfRule>
  </conditionalFormatting>
  <conditionalFormatting sqref="X37">
    <cfRule type="dataBar" priority="10">
      <dataBar>
        <cfvo type="min"/>
        <cfvo type="max"/>
        <color rgb="FF638EC6"/>
      </dataBar>
      <extLst>
        <ext xmlns:x14="http://schemas.microsoft.com/office/spreadsheetml/2009/9/main" uri="{B025F937-C7B1-47D3-B67F-A62EFF666E3E}">
          <x14:id>{f23cf4ca-be45-41f4-aff5-f642f58fd0b2}</x14:id>
        </ext>
      </extLst>
    </cfRule>
  </conditionalFormatting>
  <conditionalFormatting sqref="AA37">
    <cfRule type="dataBar" priority="9">
      <dataBar>
        <cfvo type="min"/>
        <cfvo type="max"/>
        <color rgb="FF638EC6"/>
      </dataBar>
      <extLst>
        <ext xmlns:x14="http://schemas.microsoft.com/office/spreadsheetml/2009/9/main" uri="{B025F937-C7B1-47D3-B67F-A62EFF666E3E}">
          <x14:id>{228d9ba9-3f84-4a33-921b-ba1e6df61b29}</x14:id>
        </ext>
      </extLst>
    </cfRule>
  </conditionalFormatting>
  <conditionalFormatting sqref="AB37">
    <cfRule type="dataBar" priority="8">
      <dataBar>
        <cfvo type="min"/>
        <cfvo type="max"/>
        <color rgb="FF638EC6"/>
      </dataBar>
      <extLst>
        <ext xmlns:x14="http://schemas.microsoft.com/office/spreadsheetml/2009/9/main" uri="{B025F937-C7B1-47D3-B67F-A62EFF666E3E}">
          <x14:id>{f5014ffe-9ee0-4712-8146-7d5848f95a0e}</x14:id>
        </ext>
      </extLst>
    </cfRule>
  </conditionalFormatting>
  <conditionalFormatting sqref="AC37">
    <cfRule type="dataBar" priority="3">
      <dataBar>
        <cfvo type="min"/>
        <cfvo type="max"/>
        <color rgb="FF638EC6"/>
      </dataBar>
      <extLst>
        <ext xmlns:x14="http://schemas.microsoft.com/office/spreadsheetml/2009/9/main" uri="{B025F937-C7B1-47D3-B67F-A62EFF666E3E}">
          <x14:id>{ba9ca944-3a65-4c1a-b6ce-a00b30b52e5b}</x14:id>
        </ext>
      </extLst>
    </cfRule>
  </conditionalFormatting>
  <dataValidations count="3">
    <dataValidation type="list" allowBlank="1" showInputMessage="1" showErrorMessage="1" sqref="F8:F24 F29:F78 F83:F152 F154:F162 F167:F183 F188:F221 F226:F247 F252:F278 X8:X24 X29:X78 X83:X152 X154:X162 X167:X183 X188:X221 X226:X247 X252:X278">
      <formula1>設定!$A:$A</formula1>
    </dataValidation>
    <dataValidation type="list" allowBlank="1" showInputMessage="1" showErrorMessage="1" sqref="G8:G24 G29:G78 G83:G162 G167:G183 G188:G221 G226:G247 G252:G278 Y8:Y24 Y29:Y78 Y83:Y162 Y167:Y183 Y188:Y221 Y226:Y247 Y252:Y278">
      <formula1>設定!$B:$B</formula1>
    </dataValidation>
    <dataValidation type="list" allowBlank="1" showInputMessage="1" showErrorMessage="1" sqref="IK107:IK112 SG107:SG112 ACC107:ACC112 ALY107:ALY112 AVU107:AVU112 BFQ107:BFQ112 BPM107:BPM112 BZI107:BZI112 CJE107:CJE112 CTA107:CTA112 DCW107:DCW112 DMS107:DMS112 DWO107:DWO112 EGK107:EGK112 EQG107:EQG112 FAC107:FAC112 FJY107:FJY112 FTU107:FTU112 GDQ107:GDQ112 GNM107:GNM112 GXI107:GXI112 HHE107:HHE112 HRA107:HRA112 IAW107:IAW112 IKS107:IKS112 IUO107:IUO112 JEK107:JEK112 JOG107:JOG112 JYC107:JYC112 KHY107:KHY112 KRU107:KRU112 LBQ107:LBQ112 LLM107:LLM112 LVI107:LVI112 MFE107:MFE112 MPA107:MPA112 MYW107:MYW112 NIS107:NIS112 NSO107:NSO112 OCK107:OCK112 OMG107:OMG112 OWC107:OWC112 PFY107:PFY112 PPU107:PPU112 PZQ107:PZQ112 QJM107:QJM112 QTI107:QTI112 RDE107:RDE112 RNA107:RNA112 RWW107:RWW112 SGS107:SGS112 SQO107:SQO112 TAK107:TAK112 TKG107:TKG112 TUC107:TUC112 UDY107:UDY112 UNU107:UNU112 UXQ107:UXQ112 VHM107:VHM112 VRI107:VRI112 WBE107:WBE112 WLA107:WLA112 WUW107:WUW112">
      <formula1>DATA_TYPE</formula1>
    </dataValidation>
  </dataValidations>
  <pageMargins left="0.393700787401575" right="0.393700787401575" top="0.984251968503937" bottom="0.984251968503937" header="0.511811023622047" footer="0.511811023622047"/>
  <pageSetup paperSize="9" scale="58" fitToHeight="0" orientation="portrait"/>
  <headerFooter>
    <oddHeader>&amp;C&amp;"Arial,太字"&amp;14&amp;A&amp;R&amp;D &amp;T</oddHeader>
    <oddFooter>&amp;C&amp;P/&amp;N&amp;R&amp;F</oddFooter>
  </headerFooter>
  <legacyDrawing r:id="rId2"/>
  <extLst>
    <ext xmlns:x14="http://schemas.microsoft.com/office/spreadsheetml/2009/9/main" uri="{78C0D931-6437-407d-A8EE-F0AAD7539E65}">
      <x14:conditionalFormattings>
        <x14:conditionalFormatting xmlns:xm="http://schemas.microsoft.com/office/excel/2006/main">
          <x14:cfRule type="dataBar" id="{f695eee1-49c4-4555-bd57-898ea4cb91e0}">
            <x14:dataBar minLength="0" maxLength="100" negativeBarColorSameAsPositive="1" axisPosition="none">
              <x14:cfvo type="min"/>
              <x14:cfvo type="max"/>
              <x14:axisColor indexed="65"/>
            </x14:dataBar>
          </x14:cfRule>
          <xm:sqref>D35</xm:sqref>
        </x14:conditionalFormatting>
        <x14:conditionalFormatting xmlns:xm="http://schemas.microsoft.com/office/excel/2006/main">
          <x14:cfRule type="dataBar" id="{96e8a1c5-6d17-469d-aad5-673b91415525}">
            <x14:dataBar minLength="0" maxLength="100" negativeBarColorSameAsPositive="1" axisPosition="none">
              <x14:cfvo type="min"/>
              <x14:cfvo type="max"/>
              <x14:axisColor indexed="65"/>
            </x14:dataBar>
          </x14:cfRule>
          <xm:sqref>F35</xm:sqref>
        </x14:conditionalFormatting>
        <x14:conditionalFormatting xmlns:xm="http://schemas.microsoft.com/office/excel/2006/main">
          <x14:cfRule type="dataBar" id="{8999cac1-b750-4c78-9af3-ed4458d422e4}">
            <x14:dataBar minLength="0" maxLength="100" negativeBarColorSameAsPositive="1" axisPosition="none">
              <x14:cfvo type="min"/>
              <x14:cfvo type="max"/>
              <x14:axisColor indexed="65"/>
            </x14:dataBar>
          </x14:cfRule>
          <xm:sqref>G35</xm:sqref>
        </x14:conditionalFormatting>
        <x14:conditionalFormatting xmlns:xm="http://schemas.microsoft.com/office/excel/2006/main">
          <x14:cfRule type="dataBar" id="{2b0e3af3-eaee-4f6b-803b-9ae4125a6685}">
            <x14:dataBar minLength="0" maxLength="100" negativeBarColorSameAsPositive="1" axisPosition="none">
              <x14:cfvo type="min"/>
              <x14:cfvo type="max"/>
              <x14:axisColor indexed="65"/>
            </x14:dataBar>
          </x14:cfRule>
          <xm:sqref>I35</xm:sqref>
        </x14:conditionalFormatting>
        <x14:conditionalFormatting xmlns:xm="http://schemas.microsoft.com/office/excel/2006/main">
          <x14:cfRule type="dataBar" id="{c7553980-cedf-4ca6-be72-b1f4bb2f084b}">
            <x14:dataBar minLength="0" maxLength="100" negativeBarColorSameAsPositive="1" axisPosition="none">
              <x14:cfvo type="min"/>
              <x14:cfvo type="max"/>
              <x14:axisColor indexed="65"/>
            </x14:dataBar>
          </x14:cfRule>
          <xm:sqref>J35</xm:sqref>
        </x14:conditionalFormatting>
        <x14:conditionalFormatting xmlns:xm="http://schemas.microsoft.com/office/excel/2006/main">
          <x14:cfRule type="dataBar" id="{191866a0-96b8-459d-8f69-586805af3818}">
            <x14:dataBar minLength="0" maxLength="100" negativeBarColorSameAsPositive="1" axisPosition="none">
              <x14:cfvo type="min"/>
              <x14:cfvo type="max"/>
              <x14:axisColor indexed="65"/>
            </x14:dataBar>
          </x14:cfRule>
          <xm:sqref>K35</xm:sqref>
        </x14:conditionalFormatting>
        <x14:conditionalFormatting xmlns:xm="http://schemas.microsoft.com/office/excel/2006/main">
          <x14:cfRule type="dataBar" id="{d6bdf144-fbdc-42ce-a934-f54b4ac870d6}">
            <x14:dataBar minLength="0" maxLength="100" negativeBarColorSameAsPositive="1" axisPosition="none">
              <x14:cfvo type="min"/>
              <x14:cfvo type="max"/>
              <x14:axisColor indexed="65"/>
            </x14:dataBar>
          </x14:cfRule>
          <xm:sqref>V35</xm:sqref>
        </x14:conditionalFormatting>
        <x14:conditionalFormatting xmlns:xm="http://schemas.microsoft.com/office/excel/2006/main">
          <x14:cfRule type="dataBar" id="{c5255148-0803-497b-9d59-ebfd18658d9a}">
            <x14:dataBar minLength="0" maxLength="100" negativeBarColorSameAsPositive="1" axisPosition="none">
              <x14:cfvo type="min"/>
              <x14:cfvo type="max"/>
              <x14:axisColor indexed="65"/>
            </x14:dataBar>
          </x14:cfRule>
          <xm:sqref>X35</xm:sqref>
        </x14:conditionalFormatting>
        <x14:conditionalFormatting xmlns:xm="http://schemas.microsoft.com/office/excel/2006/main">
          <x14:cfRule type="dataBar" id="{0ce7fe59-e783-44e9-aa5d-8473bd723277}">
            <x14:dataBar minLength="0" maxLength="100" negativeBarColorSameAsPositive="1" axisPosition="none">
              <x14:cfvo type="min"/>
              <x14:cfvo type="max"/>
              <x14:axisColor indexed="65"/>
            </x14:dataBar>
          </x14:cfRule>
          <xm:sqref>Y35</xm:sqref>
        </x14:conditionalFormatting>
        <x14:conditionalFormatting xmlns:xm="http://schemas.microsoft.com/office/excel/2006/main">
          <x14:cfRule type="dataBar" id="{b391ab29-a698-429c-aa36-ca5fb1a6967e}">
            <x14:dataBar minLength="0" maxLength="100" negativeBarColorSameAsPositive="1" axisPosition="none">
              <x14:cfvo type="min"/>
              <x14:cfvo type="max"/>
              <x14:axisColor indexed="65"/>
            </x14:dataBar>
          </x14:cfRule>
          <xm:sqref>AA35</xm:sqref>
        </x14:conditionalFormatting>
        <x14:conditionalFormatting xmlns:xm="http://schemas.microsoft.com/office/excel/2006/main">
          <x14:cfRule type="dataBar" id="{cedd2b91-d213-46ce-886c-71f7e0133154}">
            <x14:dataBar minLength="0" maxLength="100" negativeBarColorSameAsPositive="1" axisPosition="none">
              <x14:cfvo type="min"/>
              <x14:cfvo type="max"/>
              <x14:axisColor indexed="65"/>
            </x14:dataBar>
          </x14:cfRule>
          <xm:sqref>AB35</xm:sqref>
        </x14:conditionalFormatting>
        <x14:conditionalFormatting xmlns:xm="http://schemas.microsoft.com/office/excel/2006/main">
          <x14:cfRule type="dataBar" id="{46d3b1e1-b13a-42d0-aaf3-94ef50f52bd5}">
            <x14:dataBar minLength="0" maxLength="100" negativeBarColorSameAsPositive="1" axisPosition="none">
              <x14:cfvo type="min"/>
              <x14:cfvo type="max"/>
              <x14:axisColor indexed="65"/>
            </x14:dataBar>
          </x14:cfRule>
          <xm:sqref>AC35</xm:sqref>
        </x14:conditionalFormatting>
        <x14:conditionalFormatting xmlns:xm="http://schemas.microsoft.com/office/excel/2006/main">
          <x14:cfRule type="dataBar" id="{ff7068db-fcfc-4a54-84ea-5e301a9e70eb}">
            <x14:dataBar minLength="0" maxLength="100" negativeBarColorSameAsPositive="1" axisPosition="none">
              <x14:cfvo type="min"/>
              <x14:cfvo type="max"/>
              <x14:axisColor indexed="65"/>
            </x14:dataBar>
          </x14:cfRule>
          <xm:sqref>D37</xm:sqref>
        </x14:conditionalFormatting>
        <x14:conditionalFormatting xmlns:xm="http://schemas.microsoft.com/office/excel/2006/main">
          <x14:cfRule type="dataBar" id="{2972d9f6-c290-4fc0-9556-283a42af61bb}">
            <x14:dataBar minLength="0" maxLength="100" negativeBarColorSameAsPositive="1" axisPosition="none">
              <x14:cfvo type="min"/>
              <x14:cfvo type="max"/>
              <x14:axisColor indexed="65"/>
            </x14:dataBar>
          </x14:cfRule>
          <xm:sqref>F37</xm:sqref>
        </x14:conditionalFormatting>
        <x14:conditionalFormatting xmlns:xm="http://schemas.microsoft.com/office/excel/2006/main">
          <x14:cfRule type="dataBar" id="{941e5e12-784d-4c3b-a5da-dd106f463816}">
            <x14:dataBar minLength="0" maxLength="100" negativeBarColorSameAsPositive="1" axisPosition="none">
              <x14:cfvo type="min"/>
              <x14:cfvo type="max"/>
              <x14:axisColor indexed="65"/>
            </x14:dataBar>
          </x14:cfRule>
          <xm:sqref>I37</xm:sqref>
        </x14:conditionalFormatting>
        <x14:conditionalFormatting xmlns:xm="http://schemas.microsoft.com/office/excel/2006/main">
          <x14:cfRule type="dataBar" id="{749a0cb3-634f-48f7-a265-c2789daa1412}">
            <x14:dataBar minLength="0" maxLength="100" negativeBarColorSameAsPositive="1" axisPosition="none">
              <x14:cfvo type="min"/>
              <x14:cfvo type="max"/>
              <x14:axisColor indexed="65"/>
            </x14:dataBar>
          </x14:cfRule>
          <xm:sqref>J37</xm:sqref>
        </x14:conditionalFormatting>
        <x14:conditionalFormatting xmlns:xm="http://schemas.microsoft.com/office/excel/2006/main">
          <x14:cfRule type="dataBar" id="{bf17b5c6-1926-428f-8399-409986e17ee5}">
            <x14:dataBar minLength="0" maxLength="100" negativeBarColorSameAsPositive="1" axisPosition="none">
              <x14:cfvo type="min"/>
              <x14:cfvo type="max"/>
              <x14:axisColor indexed="65"/>
            </x14:dataBar>
          </x14:cfRule>
          <xm:sqref>K37</xm:sqref>
        </x14:conditionalFormatting>
        <x14:conditionalFormatting xmlns:xm="http://schemas.microsoft.com/office/excel/2006/main">
          <x14:cfRule type="dataBar" id="{6f2d48ff-1e98-4fe6-b08e-3b6229d740d5}">
            <x14:dataBar minLength="0" maxLength="100" negativeBarColorSameAsPositive="1" axisPosition="none">
              <x14:cfvo type="min"/>
              <x14:cfvo type="max"/>
              <x14:axisColor indexed="65"/>
            </x14:dataBar>
          </x14:cfRule>
          <xm:sqref>V37</xm:sqref>
        </x14:conditionalFormatting>
        <x14:conditionalFormatting xmlns:xm="http://schemas.microsoft.com/office/excel/2006/main">
          <x14:cfRule type="dataBar" id="{f23cf4ca-be45-41f4-aff5-f642f58fd0b2}">
            <x14:dataBar minLength="0" maxLength="100" negativeBarColorSameAsPositive="1" axisPosition="none">
              <x14:cfvo type="min"/>
              <x14:cfvo type="max"/>
              <x14:axisColor indexed="65"/>
            </x14:dataBar>
          </x14:cfRule>
          <xm:sqref>X37</xm:sqref>
        </x14:conditionalFormatting>
        <x14:conditionalFormatting xmlns:xm="http://schemas.microsoft.com/office/excel/2006/main">
          <x14:cfRule type="dataBar" id="{228d9ba9-3f84-4a33-921b-ba1e6df61b29}">
            <x14:dataBar minLength="0" maxLength="100" negativeBarColorSameAsPositive="1" axisPosition="none">
              <x14:cfvo type="min"/>
              <x14:cfvo type="max"/>
              <x14:axisColor indexed="65"/>
            </x14:dataBar>
          </x14:cfRule>
          <xm:sqref>AA37</xm:sqref>
        </x14:conditionalFormatting>
        <x14:conditionalFormatting xmlns:xm="http://schemas.microsoft.com/office/excel/2006/main">
          <x14:cfRule type="dataBar" id="{f5014ffe-9ee0-4712-8146-7d5848f95a0e}">
            <x14:dataBar minLength="0" maxLength="100" negativeBarColorSameAsPositive="1" axisPosition="none">
              <x14:cfvo type="min"/>
              <x14:cfvo type="max"/>
              <x14:axisColor indexed="65"/>
            </x14:dataBar>
          </x14:cfRule>
          <xm:sqref>AB37</xm:sqref>
        </x14:conditionalFormatting>
        <x14:conditionalFormatting xmlns:xm="http://schemas.microsoft.com/office/excel/2006/main">
          <x14:cfRule type="dataBar" id="{ba9ca944-3a65-4c1a-b6ce-a00b30b52e5b}">
            <x14:dataBar minLength="0" maxLength="100" negativeBarColorSameAsPositive="1" axisPosition="none">
              <x14:cfvo type="min"/>
              <x14:cfvo type="max"/>
              <x14:axisColor indexed="65"/>
            </x14:dataBar>
          </x14:cfRule>
          <xm:sqref>AC37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tabColor rgb="FF00B0F0"/>
    <pageSetUpPr fitToPage="1"/>
  </sheetPr>
  <dimension ref="A1:AK177"/>
  <sheetViews>
    <sheetView showGridLines="0" view="pageBreakPreview" zoomScale="145" zoomScaleNormal="85" workbookViewId="0">
      <pane xSplit="4" ySplit="3" topLeftCell="E97" activePane="bottomRight" state="frozen"/>
      <selection/>
      <selection pane="topRight"/>
      <selection pane="bottomLeft"/>
      <selection pane="bottomRight" activeCell="C174" sqref="C174:C177"/>
    </sheetView>
  </sheetViews>
  <sheetFormatPr defaultColWidth="9.33333333333333" defaultRowHeight="11.25"/>
  <cols>
    <col min="1" max="1" width="4.33333333333333" style="2" customWidth="1"/>
    <col min="2" max="2" width="13.3333333333333" style="3" customWidth="1"/>
    <col min="3" max="3" width="30.7777777777778" style="2" customWidth="1"/>
    <col min="4" max="4" width="30.7777777777778" style="3" customWidth="1"/>
    <col min="5" max="5" width="36.7777777777778" style="2" customWidth="1"/>
    <col min="6" max="7" width="10.7777777777778" style="2" customWidth="1"/>
    <col min="8" max="8" width="6.77777777777778" style="2" customWidth="1"/>
    <col min="9" max="9" width="5.77777777777778" style="4" customWidth="1"/>
    <col min="10" max="10" width="10.7777777777778" style="2" customWidth="1"/>
    <col min="11" max="11" width="18.7777777777778" style="2" customWidth="1"/>
    <col min="12" max="12" width="8.77777777777778" style="2" customWidth="1"/>
    <col min="13" max="13" width="22.7777777777778" style="2" customWidth="1"/>
    <col min="14" max="14" width="9.33333333333333" style="5"/>
    <col min="15" max="15" width="9.11111111111111" style="5" customWidth="1"/>
    <col min="16" max="17" width="9.33333333333333" style="5"/>
    <col min="18" max="18" width="3.33333333333333" style="48" customWidth="1"/>
    <col min="19" max="20" width="9.33333333333333" style="5"/>
    <col min="21" max="21" width="4.33333333333333" style="2" customWidth="1"/>
    <col min="22" max="22" width="17" style="3" customWidth="1"/>
    <col min="23" max="23" width="30.7777777777778" style="2" customWidth="1"/>
    <col min="24" max="24" width="30.7777777777778" style="3" customWidth="1"/>
    <col min="25" max="25" width="43" style="2" customWidth="1"/>
    <col min="26" max="27" width="10.7777777777778" style="2" customWidth="1"/>
    <col min="28" max="28" width="6.77777777777778" style="2" customWidth="1"/>
    <col min="29" max="29" width="10.7777777777778" style="4" customWidth="1"/>
    <col min="30" max="30" width="13.1111111111111" style="2" customWidth="1"/>
    <col min="31" max="31" width="18.7777777777778" style="2" customWidth="1"/>
    <col min="32" max="32" width="8.77777777777778" style="2" customWidth="1"/>
    <col min="33" max="33" width="22.7777777777778" style="2" customWidth="1"/>
    <col min="34" max="34" width="9.33333333333333" style="5"/>
    <col min="35" max="35" width="9.11111111111111" style="5" customWidth="1"/>
    <col min="36" max="16384" width="9.33333333333333" style="5"/>
  </cols>
  <sheetData>
    <row r="1" s="2" customFormat="1" spans="1:29">
      <c r="A1" s="6"/>
      <c r="B1" s="7" t="s">
        <v>15</v>
      </c>
      <c r="C1" s="8"/>
      <c r="D1" s="9"/>
      <c r="I1" s="37"/>
      <c r="R1" s="70"/>
      <c r="U1" s="6"/>
      <c r="V1" s="7" t="s">
        <v>86</v>
      </c>
      <c r="W1" s="8"/>
      <c r="X1" s="9"/>
      <c r="AC1" s="37"/>
    </row>
    <row r="2" s="2" customFormat="1" spans="1:33">
      <c r="A2" s="10"/>
      <c r="B2" s="11" t="s">
        <v>124</v>
      </c>
      <c r="C2" s="8"/>
      <c r="D2" s="9"/>
      <c r="F2" s="3"/>
      <c r="G2" s="3"/>
      <c r="H2" s="3"/>
      <c r="I2" s="37"/>
      <c r="J2" s="3"/>
      <c r="K2" s="3"/>
      <c r="L2" s="3"/>
      <c r="M2" s="38"/>
      <c r="R2" s="70"/>
      <c r="U2" s="10"/>
      <c r="V2" s="11" t="s">
        <v>125</v>
      </c>
      <c r="W2" s="8"/>
      <c r="X2" s="9"/>
      <c r="Z2" s="3"/>
      <c r="AA2" s="3"/>
      <c r="AB2" s="3"/>
      <c r="AC2" s="37"/>
      <c r="AD2" s="3"/>
      <c r="AE2" s="3"/>
      <c r="AF2" s="3"/>
      <c r="AG2" s="38"/>
    </row>
    <row r="3" s="2" customFormat="1" ht="22.5" spans="1:33">
      <c r="A3" s="12" t="s">
        <v>0</v>
      </c>
      <c r="B3" s="13"/>
      <c r="C3" s="14" t="s">
        <v>126</v>
      </c>
      <c r="D3" s="15" t="s">
        <v>15</v>
      </c>
      <c r="E3" s="14" t="s">
        <v>16</v>
      </c>
      <c r="F3" s="16" t="s">
        <v>127</v>
      </c>
      <c r="G3" s="14" t="s">
        <v>127</v>
      </c>
      <c r="H3" s="14" t="s">
        <v>128</v>
      </c>
      <c r="I3" s="39" t="s">
        <v>129</v>
      </c>
      <c r="J3" s="14" t="s">
        <v>130</v>
      </c>
      <c r="K3" s="14" t="s">
        <v>131</v>
      </c>
      <c r="L3" s="14" t="s">
        <v>132</v>
      </c>
      <c r="M3" s="14" t="s">
        <v>6</v>
      </c>
      <c r="R3" s="70"/>
      <c r="U3" s="12" t="s">
        <v>0</v>
      </c>
      <c r="V3" s="13"/>
      <c r="W3" s="14" t="s">
        <v>133</v>
      </c>
      <c r="X3" s="15" t="s">
        <v>86</v>
      </c>
      <c r="Y3" s="14" t="s">
        <v>87</v>
      </c>
      <c r="Z3" s="16" t="s">
        <v>134</v>
      </c>
      <c r="AA3" s="14" t="s">
        <v>134</v>
      </c>
      <c r="AB3" s="14" t="s">
        <v>128</v>
      </c>
      <c r="AC3" s="39" t="s">
        <v>135</v>
      </c>
      <c r="AD3" s="14" t="s">
        <v>130</v>
      </c>
      <c r="AE3" s="14" t="s">
        <v>136</v>
      </c>
      <c r="AF3" s="14" t="s">
        <v>132</v>
      </c>
      <c r="AG3" s="14" t="s">
        <v>137</v>
      </c>
    </row>
    <row r="5" spans="1:29">
      <c r="A5" s="6"/>
      <c r="B5" s="7" t="s">
        <v>15</v>
      </c>
      <c r="C5" s="8" t="s">
        <v>58</v>
      </c>
      <c r="D5" s="9"/>
      <c r="I5" s="37"/>
      <c r="U5" s="6"/>
      <c r="V5" s="7" t="s">
        <v>86</v>
      </c>
      <c r="W5" s="8" t="s">
        <v>58</v>
      </c>
      <c r="X5" s="9"/>
      <c r="AC5" s="37"/>
    </row>
    <row r="6" spans="1:33">
      <c r="A6" s="10"/>
      <c r="B6" s="11" t="s">
        <v>124</v>
      </c>
      <c r="C6" s="8" t="str">
        <f>テーブル一覧!E17</f>
        <v>T_SOD_QUE_CTRL</v>
      </c>
      <c r="D6" s="9"/>
      <c r="E6" s="2" t="s">
        <v>1109</v>
      </c>
      <c r="F6" s="3"/>
      <c r="G6" s="3"/>
      <c r="H6" s="3"/>
      <c r="I6" s="37"/>
      <c r="J6" s="3"/>
      <c r="K6" s="3"/>
      <c r="L6" s="3"/>
      <c r="M6" s="38"/>
      <c r="U6" s="10"/>
      <c r="V6" s="11" t="s">
        <v>125</v>
      </c>
      <c r="W6" s="8">
        <f>D6</f>
        <v>0</v>
      </c>
      <c r="X6" s="9"/>
      <c r="Y6" s="2" t="s">
        <v>1109</v>
      </c>
      <c r="Z6" s="3"/>
      <c r="AA6" s="3"/>
      <c r="AB6" s="3"/>
      <c r="AC6" s="37"/>
      <c r="AD6" s="3"/>
      <c r="AE6" s="3"/>
      <c r="AF6" s="3"/>
      <c r="AG6" s="38"/>
    </row>
    <row r="7" ht="22.5" spans="1:33">
      <c r="A7" s="12" t="s">
        <v>0</v>
      </c>
      <c r="B7" s="13"/>
      <c r="C7" s="14" t="s">
        <v>126</v>
      </c>
      <c r="D7" s="15" t="s">
        <v>15</v>
      </c>
      <c r="E7" s="14" t="s">
        <v>16</v>
      </c>
      <c r="F7" s="16" t="s">
        <v>127</v>
      </c>
      <c r="G7" s="14" t="s">
        <v>127</v>
      </c>
      <c r="H7" s="14" t="s">
        <v>128</v>
      </c>
      <c r="I7" s="39" t="s">
        <v>129</v>
      </c>
      <c r="J7" s="14" t="s">
        <v>130</v>
      </c>
      <c r="K7" s="14" t="s">
        <v>131</v>
      </c>
      <c r="L7" s="14" t="s">
        <v>132</v>
      </c>
      <c r="M7" s="14" t="s">
        <v>6</v>
      </c>
      <c r="U7" s="12" t="s">
        <v>0</v>
      </c>
      <c r="V7" s="13"/>
      <c r="W7" s="14" t="s">
        <v>133</v>
      </c>
      <c r="X7" s="15" t="s">
        <v>86</v>
      </c>
      <c r="Y7" s="14" t="s">
        <v>87</v>
      </c>
      <c r="Z7" s="16" t="s">
        <v>134</v>
      </c>
      <c r="AA7" s="14" t="s">
        <v>134</v>
      </c>
      <c r="AB7" s="14" t="s">
        <v>128</v>
      </c>
      <c r="AC7" s="39" t="s">
        <v>135</v>
      </c>
      <c r="AD7" s="14" t="s">
        <v>130</v>
      </c>
      <c r="AE7" s="14" t="s">
        <v>136</v>
      </c>
      <c r="AF7" s="14" t="s">
        <v>132</v>
      </c>
      <c r="AG7" s="14" t="s">
        <v>137</v>
      </c>
    </row>
    <row r="8" s="2" customFormat="1" spans="1:37">
      <c r="A8" s="31">
        <v>1</v>
      </c>
      <c r="B8" s="59"/>
      <c r="C8" s="31" t="s">
        <v>139</v>
      </c>
      <c r="D8" s="31" t="s">
        <v>1110</v>
      </c>
      <c r="E8" s="32"/>
      <c r="F8" s="32" t="s">
        <v>301</v>
      </c>
      <c r="G8" s="32" t="s">
        <v>302</v>
      </c>
      <c r="H8" s="32" t="s">
        <v>8</v>
      </c>
      <c r="I8" s="64" t="s">
        <v>22</v>
      </c>
      <c r="J8" s="32"/>
      <c r="K8" s="32" t="s">
        <v>303</v>
      </c>
      <c r="L8" s="32" t="s">
        <v>188</v>
      </c>
      <c r="M8" s="32"/>
      <c r="N8" s="3"/>
      <c r="O8" s="3"/>
      <c r="P8" s="3"/>
      <c r="Q8" s="3"/>
      <c r="R8" s="91"/>
      <c r="S8" s="3"/>
      <c r="T8" s="3"/>
      <c r="U8" s="31">
        <v>1</v>
      </c>
      <c r="V8" s="59"/>
      <c r="W8" s="31" t="s">
        <v>139</v>
      </c>
      <c r="X8" s="31" t="s">
        <v>1110</v>
      </c>
      <c r="Y8" s="32"/>
      <c r="Z8" s="32" t="s">
        <v>301</v>
      </c>
      <c r="AA8" s="79" t="s">
        <v>302</v>
      </c>
      <c r="AB8" s="32" t="s">
        <v>8</v>
      </c>
      <c r="AC8" s="64" t="s">
        <v>22</v>
      </c>
      <c r="AD8" s="32"/>
      <c r="AE8" s="32" t="s">
        <v>303</v>
      </c>
      <c r="AF8" s="32" t="s">
        <v>188</v>
      </c>
      <c r="AG8" s="32"/>
      <c r="AH8" s="3"/>
      <c r="AI8" s="3"/>
      <c r="AJ8" s="3"/>
      <c r="AK8" s="3"/>
    </row>
    <row r="9" s="2" customFormat="1" spans="1:37">
      <c r="A9" s="31">
        <f t="shared" ref="A9:A30" si="0">A8+1</f>
        <v>2</v>
      </c>
      <c r="B9" s="59"/>
      <c r="C9" s="31" t="s">
        <v>1111</v>
      </c>
      <c r="D9" s="31" t="s">
        <v>1112</v>
      </c>
      <c r="E9" s="31" t="s">
        <v>1113</v>
      </c>
      <c r="F9" s="31" t="s">
        <v>141</v>
      </c>
      <c r="G9" s="31" t="s">
        <v>142</v>
      </c>
      <c r="H9" s="31">
        <v>15</v>
      </c>
      <c r="I9" s="43" t="s">
        <v>22</v>
      </c>
      <c r="J9" s="31"/>
      <c r="K9" s="31"/>
      <c r="L9" s="31" t="s">
        <v>383</v>
      </c>
      <c r="M9" s="31"/>
      <c r="N9" s="3"/>
      <c r="O9" s="3"/>
      <c r="P9" s="3"/>
      <c r="Q9" s="3"/>
      <c r="R9" s="91"/>
      <c r="S9" s="3"/>
      <c r="T9" s="3"/>
      <c r="U9" s="31">
        <f t="shared" ref="U9:U30" si="1">U8+1</f>
        <v>2</v>
      </c>
      <c r="V9" s="59"/>
      <c r="W9" s="31" t="s">
        <v>1111</v>
      </c>
      <c r="X9" s="31" t="s">
        <v>1112</v>
      </c>
      <c r="Y9" s="31" t="s">
        <v>1114</v>
      </c>
      <c r="Z9" s="31" t="s">
        <v>141</v>
      </c>
      <c r="AA9" s="31" t="s">
        <v>142</v>
      </c>
      <c r="AB9" s="31">
        <v>15</v>
      </c>
      <c r="AC9" s="43" t="s">
        <v>22</v>
      </c>
      <c r="AD9" s="31"/>
      <c r="AE9" s="31"/>
      <c r="AF9" s="31" t="s">
        <v>383</v>
      </c>
      <c r="AG9" s="31"/>
      <c r="AH9" s="3"/>
      <c r="AI9" s="3"/>
      <c r="AJ9" s="3"/>
      <c r="AK9" s="3"/>
    </row>
    <row r="10" s="86" customFormat="1" ht="409.5" spans="1:37">
      <c r="A10" s="32">
        <f t="shared" si="0"/>
        <v>3</v>
      </c>
      <c r="B10" s="59" t="s">
        <v>393</v>
      </c>
      <c r="C10" s="32" t="s">
        <v>1115</v>
      </c>
      <c r="D10" s="32" t="s">
        <v>1116</v>
      </c>
      <c r="E10" s="32" t="s">
        <v>396</v>
      </c>
      <c r="F10" s="32" t="s">
        <v>141</v>
      </c>
      <c r="G10" s="31" t="s">
        <v>142</v>
      </c>
      <c r="H10" s="32">
        <v>5</v>
      </c>
      <c r="I10" s="64" t="s">
        <v>22</v>
      </c>
      <c r="J10" s="32"/>
      <c r="K10" s="32"/>
      <c r="L10" s="52"/>
      <c r="M10" s="67"/>
      <c r="N10" s="88"/>
      <c r="O10" s="3"/>
      <c r="P10" s="88"/>
      <c r="Q10" s="88"/>
      <c r="R10" s="91"/>
      <c r="S10" s="88"/>
      <c r="T10" s="88"/>
      <c r="U10" s="32">
        <f t="shared" si="1"/>
        <v>3</v>
      </c>
      <c r="V10" s="51"/>
      <c r="W10" s="32" t="s">
        <v>1115</v>
      </c>
      <c r="X10" s="32" t="s">
        <v>1116</v>
      </c>
      <c r="Y10" s="74" t="s">
        <v>1117</v>
      </c>
      <c r="Z10" s="32" t="s">
        <v>141</v>
      </c>
      <c r="AA10" s="31" t="s">
        <v>142</v>
      </c>
      <c r="AB10" s="32">
        <v>5</v>
      </c>
      <c r="AC10" s="64" t="s">
        <v>22</v>
      </c>
      <c r="AD10" s="32"/>
      <c r="AE10" s="32"/>
      <c r="AF10" s="52"/>
      <c r="AG10" s="67"/>
      <c r="AH10" s="88"/>
      <c r="AI10" s="3"/>
      <c r="AJ10" s="88"/>
      <c r="AK10" s="88"/>
    </row>
    <row r="11" s="2" customFormat="1" ht="112.5" spans="1:37">
      <c r="A11" s="32">
        <f t="shared" si="0"/>
        <v>4</v>
      </c>
      <c r="B11" s="59"/>
      <c r="C11" s="31" t="s">
        <v>344</v>
      </c>
      <c r="D11" s="31" t="s">
        <v>1118</v>
      </c>
      <c r="E11" s="31" t="s">
        <v>1119</v>
      </c>
      <c r="F11" s="31" t="s">
        <v>267</v>
      </c>
      <c r="G11" s="31" t="s">
        <v>254</v>
      </c>
      <c r="H11" s="31" t="s">
        <v>8</v>
      </c>
      <c r="I11" s="43" t="s">
        <v>22</v>
      </c>
      <c r="J11" s="31">
        <v>0</v>
      </c>
      <c r="K11" s="31"/>
      <c r="L11" s="89"/>
      <c r="M11" s="90"/>
      <c r="N11" s="3"/>
      <c r="O11" s="3"/>
      <c r="P11" s="3"/>
      <c r="Q11" s="3"/>
      <c r="R11" s="91"/>
      <c r="S11" s="3"/>
      <c r="T11" s="3"/>
      <c r="U11" s="32">
        <f t="shared" si="1"/>
        <v>4</v>
      </c>
      <c r="V11" s="59"/>
      <c r="W11" s="31" t="s">
        <v>344</v>
      </c>
      <c r="X11" s="31" t="s">
        <v>1118</v>
      </c>
      <c r="Y11" s="31" t="s">
        <v>1120</v>
      </c>
      <c r="Z11" s="31" t="s">
        <v>267</v>
      </c>
      <c r="AA11" s="31" t="s">
        <v>254</v>
      </c>
      <c r="AB11" s="31" t="s">
        <v>8</v>
      </c>
      <c r="AC11" s="43" t="s">
        <v>22</v>
      </c>
      <c r="AD11" s="31">
        <v>0</v>
      </c>
      <c r="AE11" s="31"/>
      <c r="AF11" s="89"/>
      <c r="AG11" s="90"/>
      <c r="AH11" s="3"/>
      <c r="AI11" s="3"/>
      <c r="AJ11" s="3"/>
      <c r="AK11" s="3"/>
    </row>
    <row r="12" s="2" customFormat="1" ht="33.75" spans="1:37">
      <c r="A12" s="31">
        <f t="shared" si="0"/>
        <v>5</v>
      </c>
      <c r="B12" s="59" t="s">
        <v>1121</v>
      </c>
      <c r="C12" s="31" t="s">
        <v>1122</v>
      </c>
      <c r="D12" s="31" t="s">
        <v>1123</v>
      </c>
      <c r="E12" s="31" t="s">
        <v>1124</v>
      </c>
      <c r="F12" s="31" t="s">
        <v>153</v>
      </c>
      <c r="G12" s="31" t="s">
        <v>254</v>
      </c>
      <c r="H12" s="31" t="s">
        <v>8</v>
      </c>
      <c r="I12" s="43" t="s">
        <v>22</v>
      </c>
      <c r="J12" s="90">
        <v>3</v>
      </c>
      <c r="K12" s="31"/>
      <c r="L12" s="52"/>
      <c r="M12" s="31"/>
      <c r="N12" s="3"/>
      <c r="O12" s="3"/>
      <c r="P12" s="3"/>
      <c r="Q12" s="3"/>
      <c r="R12" s="91"/>
      <c r="S12" s="3"/>
      <c r="T12" s="3"/>
      <c r="U12" s="31">
        <f t="shared" si="1"/>
        <v>5</v>
      </c>
      <c r="V12" s="59"/>
      <c r="W12" s="31" t="s">
        <v>1122</v>
      </c>
      <c r="X12" s="31" t="s">
        <v>1123</v>
      </c>
      <c r="Y12" s="31" t="s">
        <v>1125</v>
      </c>
      <c r="Z12" s="31" t="s">
        <v>153</v>
      </c>
      <c r="AA12" s="31" t="s">
        <v>254</v>
      </c>
      <c r="AB12" s="31" t="s">
        <v>8</v>
      </c>
      <c r="AC12" s="43" t="s">
        <v>22</v>
      </c>
      <c r="AD12" s="31"/>
      <c r="AE12" s="31"/>
      <c r="AF12" s="52"/>
      <c r="AG12" s="31"/>
      <c r="AH12" s="3"/>
      <c r="AI12" s="3"/>
      <c r="AJ12" s="3"/>
      <c r="AK12" s="3"/>
    </row>
    <row r="13" s="2" customFormat="1" ht="33.75" spans="1:37">
      <c r="A13" s="31">
        <f t="shared" si="0"/>
        <v>6</v>
      </c>
      <c r="B13" s="59"/>
      <c r="C13" s="31" t="s">
        <v>1126</v>
      </c>
      <c r="D13" s="31" t="s">
        <v>1127</v>
      </c>
      <c r="E13" s="31" t="s">
        <v>1128</v>
      </c>
      <c r="F13" s="31" t="s">
        <v>141</v>
      </c>
      <c r="G13" s="31" t="s">
        <v>142</v>
      </c>
      <c r="H13" s="31">
        <v>3</v>
      </c>
      <c r="I13" s="43" t="s">
        <v>22</v>
      </c>
      <c r="J13" s="31"/>
      <c r="K13" s="31"/>
      <c r="L13" s="87"/>
      <c r="M13" s="31" t="s">
        <v>1129</v>
      </c>
      <c r="N13" s="3"/>
      <c r="O13" s="3"/>
      <c r="P13" s="3"/>
      <c r="Q13" s="3"/>
      <c r="R13" s="91"/>
      <c r="S13" s="3"/>
      <c r="T13" s="3"/>
      <c r="U13" s="31">
        <f t="shared" si="1"/>
        <v>6</v>
      </c>
      <c r="V13" s="59"/>
      <c r="W13" s="31" t="s">
        <v>1126</v>
      </c>
      <c r="X13" s="31" t="s">
        <v>1127</v>
      </c>
      <c r="Y13" s="31" t="s">
        <v>1130</v>
      </c>
      <c r="Z13" s="31" t="s">
        <v>141</v>
      </c>
      <c r="AA13" s="31" t="s">
        <v>142</v>
      </c>
      <c r="AB13" s="31">
        <v>3</v>
      </c>
      <c r="AC13" s="43" t="s">
        <v>22</v>
      </c>
      <c r="AD13" s="31"/>
      <c r="AE13" s="31"/>
      <c r="AF13" s="87"/>
      <c r="AG13" s="31" t="s">
        <v>1131</v>
      </c>
      <c r="AH13" s="3"/>
      <c r="AI13" s="3"/>
      <c r="AJ13" s="3"/>
      <c r="AK13" s="3"/>
    </row>
    <row r="14" s="2" customFormat="1" ht="22.5" spans="1:37">
      <c r="A14" s="31">
        <f t="shared" si="0"/>
        <v>7</v>
      </c>
      <c r="B14" s="59"/>
      <c r="C14" s="31" t="s">
        <v>1132</v>
      </c>
      <c r="D14" s="31" t="s">
        <v>308</v>
      </c>
      <c r="E14" s="31" t="s">
        <v>1133</v>
      </c>
      <c r="F14" s="31" t="s">
        <v>141</v>
      </c>
      <c r="G14" s="31" t="s">
        <v>142</v>
      </c>
      <c r="H14" s="31">
        <v>13</v>
      </c>
      <c r="I14" s="43"/>
      <c r="J14" s="31"/>
      <c r="K14" s="31"/>
      <c r="L14" s="87"/>
      <c r="M14" s="31"/>
      <c r="N14" s="3"/>
      <c r="O14" s="3"/>
      <c r="P14" s="3"/>
      <c r="Q14" s="3"/>
      <c r="R14" s="91"/>
      <c r="S14" s="3"/>
      <c r="T14" s="3"/>
      <c r="U14" s="31">
        <f t="shared" si="1"/>
        <v>7</v>
      </c>
      <c r="V14" s="59"/>
      <c r="W14" s="31" t="s">
        <v>1132</v>
      </c>
      <c r="X14" s="31" t="s">
        <v>308</v>
      </c>
      <c r="Y14" s="31" t="s">
        <v>1134</v>
      </c>
      <c r="Z14" s="31" t="s">
        <v>141</v>
      </c>
      <c r="AA14" s="31" t="s">
        <v>142</v>
      </c>
      <c r="AB14" s="31">
        <v>13</v>
      </c>
      <c r="AC14" s="43"/>
      <c r="AD14" s="31"/>
      <c r="AE14" s="31"/>
      <c r="AF14" s="87"/>
      <c r="AG14" s="31"/>
      <c r="AH14" s="3"/>
      <c r="AI14" s="3"/>
      <c r="AJ14" s="3"/>
      <c r="AK14" s="3"/>
    </row>
    <row r="15" s="2" customFormat="1" ht="33.75" spans="1:37">
      <c r="A15" s="31">
        <f t="shared" si="0"/>
        <v>8</v>
      </c>
      <c r="B15" s="59"/>
      <c r="C15" s="31" t="s">
        <v>413</v>
      </c>
      <c r="D15" s="31" t="s">
        <v>1135</v>
      </c>
      <c r="E15" s="31" t="s">
        <v>1136</v>
      </c>
      <c r="F15" s="31" t="s">
        <v>301</v>
      </c>
      <c r="G15" s="31" t="s">
        <v>306</v>
      </c>
      <c r="H15" s="31" t="s">
        <v>8</v>
      </c>
      <c r="I15" s="43"/>
      <c r="J15" s="31"/>
      <c r="K15" s="31"/>
      <c r="L15" s="87"/>
      <c r="M15" s="31"/>
      <c r="N15" s="3"/>
      <c r="O15" s="3"/>
      <c r="P15" s="3"/>
      <c r="Q15" s="3"/>
      <c r="R15" s="91"/>
      <c r="S15" s="3"/>
      <c r="T15" s="3"/>
      <c r="U15" s="31">
        <f t="shared" si="1"/>
        <v>8</v>
      </c>
      <c r="V15" s="59"/>
      <c r="W15" s="31" t="s">
        <v>413</v>
      </c>
      <c r="X15" s="31" t="s">
        <v>1135</v>
      </c>
      <c r="Y15" s="31" t="s">
        <v>1137</v>
      </c>
      <c r="Z15" s="31" t="s">
        <v>301</v>
      </c>
      <c r="AA15" s="31" t="s">
        <v>306</v>
      </c>
      <c r="AB15" s="31" t="s">
        <v>8</v>
      </c>
      <c r="AC15" s="43"/>
      <c r="AD15" s="31"/>
      <c r="AE15" s="31"/>
      <c r="AF15" s="87"/>
      <c r="AG15" s="31"/>
      <c r="AH15" s="3"/>
      <c r="AI15" s="3"/>
      <c r="AJ15" s="3"/>
      <c r="AK15" s="3"/>
    </row>
    <row r="16" s="86" customFormat="1" ht="33.75" spans="1:37">
      <c r="A16" s="32">
        <f t="shared" si="0"/>
        <v>9</v>
      </c>
      <c r="B16" s="51" t="s">
        <v>1138</v>
      </c>
      <c r="C16" s="32" t="s">
        <v>1139</v>
      </c>
      <c r="D16" s="32" t="s">
        <v>1140</v>
      </c>
      <c r="E16" s="32" t="s">
        <v>1141</v>
      </c>
      <c r="F16" s="32" t="s">
        <v>153</v>
      </c>
      <c r="G16" s="32" t="s">
        <v>254</v>
      </c>
      <c r="H16" s="32" t="s">
        <v>8</v>
      </c>
      <c r="I16" s="64"/>
      <c r="J16" s="67">
        <v>2</v>
      </c>
      <c r="K16" s="32"/>
      <c r="L16" s="52"/>
      <c r="M16" s="32"/>
      <c r="N16" s="88"/>
      <c r="O16" s="3"/>
      <c r="P16" s="88"/>
      <c r="Q16" s="88"/>
      <c r="R16" s="91"/>
      <c r="S16" s="88"/>
      <c r="T16" s="88"/>
      <c r="U16" s="31">
        <f t="shared" si="1"/>
        <v>9</v>
      </c>
      <c r="V16" s="51"/>
      <c r="W16" s="32" t="s">
        <v>1139</v>
      </c>
      <c r="X16" s="32" t="s">
        <v>1140</v>
      </c>
      <c r="Y16" s="32" t="s">
        <v>1142</v>
      </c>
      <c r="Z16" s="32" t="s">
        <v>153</v>
      </c>
      <c r="AA16" s="31" t="s">
        <v>254</v>
      </c>
      <c r="AB16" s="32" t="s">
        <v>8</v>
      </c>
      <c r="AC16" s="64" t="s">
        <v>22</v>
      </c>
      <c r="AD16" s="32"/>
      <c r="AE16" s="32"/>
      <c r="AF16" s="52"/>
      <c r="AG16" s="32"/>
      <c r="AH16" s="88"/>
      <c r="AI16" s="3"/>
      <c r="AJ16" s="88"/>
      <c r="AK16" s="88"/>
    </row>
    <row r="17" s="86" customFormat="1" ht="22.5" customHeight="1" spans="1:37">
      <c r="A17" s="31">
        <f t="shared" si="0"/>
        <v>10</v>
      </c>
      <c r="B17" s="59"/>
      <c r="C17" s="31" t="s">
        <v>1143</v>
      </c>
      <c r="D17" s="87" t="s">
        <v>1144</v>
      </c>
      <c r="E17" s="31" t="s">
        <v>1145</v>
      </c>
      <c r="F17" s="31" t="s">
        <v>172</v>
      </c>
      <c r="G17" s="31" t="s">
        <v>173</v>
      </c>
      <c r="H17" s="31" t="s">
        <v>8</v>
      </c>
      <c r="I17" s="43" t="s">
        <v>22</v>
      </c>
      <c r="J17" s="226" t="s">
        <v>1146</v>
      </c>
      <c r="K17" s="31"/>
      <c r="L17" s="31"/>
      <c r="M17" s="31"/>
      <c r="N17" s="88"/>
      <c r="O17" s="3"/>
      <c r="P17" s="88"/>
      <c r="Q17" s="88"/>
      <c r="R17" s="91"/>
      <c r="S17" s="88"/>
      <c r="T17" s="88"/>
      <c r="U17" s="31">
        <f t="shared" si="1"/>
        <v>10</v>
      </c>
      <c r="V17" s="59"/>
      <c r="W17" s="31" t="s">
        <v>1143</v>
      </c>
      <c r="X17" s="87" t="s">
        <v>1144</v>
      </c>
      <c r="Y17" s="31" t="s">
        <v>1147</v>
      </c>
      <c r="Z17" s="31" t="s">
        <v>172</v>
      </c>
      <c r="AA17" s="31" t="s">
        <v>173</v>
      </c>
      <c r="AB17" s="31" t="s">
        <v>8</v>
      </c>
      <c r="AC17" s="43" t="s">
        <v>22</v>
      </c>
      <c r="AD17" s="226" t="s">
        <v>1146</v>
      </c>
      <c r="AE17" s="31"/>
      <c r="AF17" s="31"/>
      <c r="AG17" s="31"/>
      <c r="AH17" s="88"/>
      <c r="AI17" s="3"/>
      <c r="AJ17" s="88"/>
      <c r="AK17" s="88"/>
    </row>
    <row r="18" s="86" customFormat="1" ht="22.5" customHeight="1" spans="1:37">
      <c r="A18" s="31">
        <f t="shared" si="0"/>
        <v>11</v>
      </c>
      <c r="B18" s="59"/>
      <c r="C18" s="31" t="s">
        <v>1148</v>
      </c>
      <c r="D18" s="87" t="s">
        <v>1149</v>
      </c>
      <c r="E18" s="31" t="s">
        <v>1150</v>
      </c>
      <c r="F18" s="31" t="s">
        <v>172</v>
      </c>
      <c r="G18" s="31" t="s">
        <v>173</v>
      </c>
      <c r="H18" s="31" t="s">
        <v>8</v>
      </c>
      <c r="I18" s="43"/>
      <c r="J18" s="31"/>
      <c r="K18" s="31"/>
      <c r="L18" s="31"/>
      <c r="M18" s="31"/>
      <c r="N18" s="88"/>
      <c r="O18" s="3"/>
      <c r="P18" s="88"/>
      <c r="Q18" s="88"/>
      <c r="R18" s="91"/>
      <c r="S18" s="88"/>
      <c r="T18" s="88"/>
      <c r="U18" s="31">
        <f t="shared" si="1"/>
        <v>11</v>
      </c>
      <c r="V18" s="59"/>
      <c r="W18" s="31" t="s">
        <v>1148</v>
      </c>
      <c r="X18" s="87" t="s">
        <v>1149</v>
      </c>
      <c r="Y18" s="31" t="s">
        <v>1151</v>
      </c>
      <c r="Z18" s="31" t="s">
        <v>172</v>
      </c>
      <c r="AA18" s="31" t="s">
        <v>173</v>
      </c>
      <c r="AB18" s="31" t="s">
        <v>8</v>
      </c>
      <c r="AC18" s="43"/>
      <c r="AD18" s="31"/>
      <c r="AE18" s="31"/>
      <c r="AF18" s="31"/>
      <c r="AG18" s="31"/>
      <c r="AH18" s="88"/>
      <c r="AI18" s="3"/>
      <c r="AJ18" s="88"/>
      <c r="AK18" s="88"/>
    </row>
    <row r="19" s="86" customFormat="1" ht="22.5" customHeight="1" spans="1:37">
      <c r="A19" s="31">
        <f t="shared" si="0"/>
        <v>12</v>
      </c>
      <c r="B19" s="59"/>
      <c r="C19" s="31" t="s">
        <v>982</v>
      </c>
      <c r="D19" s="87" t="s">
        <v>1152</v>
      </c>
      <c r="E19" s="31"/>
      <c r="F19" s="31" t="s">
        <v>172</v>
      </c>
      <c r="G19" s="31" t="s">
        <v>173</v>
      </c>
      <c r="H19" s="31" t="s">
        <v>8</v>
      </c>
      <c r="I19" s="43"/>
      <c r="J19" s="31"/>
      <c r="K19" s="31"/>
      <c r="L19" s="31"/>
      <c r="M19" s="31"/>
      <c r="N19" s="88"/>
      <c r="O19" s="3"/>
      <c r="P19" s="88"/>
      <c r="Q19" s="88"/>
      <c r="R19" s="91"/>
      <c r="S19" s="88"/>
      <c r="T19" s="88"/>
      <c r="U19" s="31">
        <f t="shared" si="1"/>
        <v>12</v>
      </c>
      <c r="V19" s="59"/>
      <c r="W19" s="31" t="s">
        <v>982</v>
      </c>
      <c r="X19" s="87" t="s">
        <v>1152</v>
      </c>
      <c r="Y19" s="31"/>
      <c r="Z19" s="31" t="s">
        <v>172</v>
      </c>
      <c r="AA19" s="31" t="s">
        <v>173</v>
      </c>
      <c r="AB19" s="31" t="s">
        <v>8</v>
      </c>
      <c r="AC19" s="43"/>
      <c r="AD19" s="31"/>
      <c r="AE19" s="31"/>
      <c r="AF19" s="31"/>
      <c r="AG19" s="31"/>
      <c r="AH19" s="88"/>
      <c r="AI19" s="3"/>
      <c r="AJ19" s="88"/>
      <c r="AK19" s="88"/>
    </row>
    <row r="20" s="86" customFormat="1" ht="22.5" customHeight="1" spans="1:37">
      <c r="A20" s="31">
        <f t="shared" si="0"/>
        <v>13</v>
      </c>
      <c r="B20" s="59"/>
      <c r="C20" s="31" t="s">
        <v>1153</v>
      </c>
      <c r="D20" s="87" t="s">
        <v>1154</v>
      </c>
      <c r="E20" s="31"/>
      <c r="F20" s="31" t="s">
        <v>172</v>
      </c>
      <c r="G20" s="31" t="s">
        <v>173</v>
      </c>
      <c r="H20" s="31" t="s">
        <v>8</v>
      </c>
      <c r="I20" s="43"/>
      <c r="J20" s="31"/>
      <c r="K20" s="31"/>
      <c r="L20" s="31"/>
      <c r="M20" s="31"/>
      <c r="N20" s="88"/>
      <c r="O20" s="3"/>
      <c r="P20" s="88"/>
      <c r="Q20" s="88"/>
      <c r="R20" s="91"/>
      <c r="S20" s="88"/>
      <c r="T20" s="88"/>
      <c r="U20" s="31">
        <f t="shared" si="1"/>
        <v>13</v>
      </c>
      <c r="V20" s="59"/>
      <c r="W20" s="31" t="s">
        <v>1153</v>
      </c>
      <c r="X20" s="87" t="s">
        <v>1154</v>
      </c>
      <c r="Y20" s="31"/>
      <c r="Z20" s="31" t="s">
        <v>172</v>
      </c>
      <c r="AA20" s="31" t="s">
        <v>173</v>
      </c>
      <c r="AB20" s="31" t="s">
        <v>8</v>
      </c>
      <c r="AC20" s="43"/>
      <c r="AD20" s="31"/>
      <c r="AE20" s="31"/>
      <c r="AF20" s="31"/>
      <c r="AG20" s="31"/>
      <c r="AH20" s="88"/>
      <c r="AI20" s="3"/>
      <c r="AJ20" s="88"/>
      <c r="AK20" s="88"/>
    </row>
    <row r="21" s="2" customFormat="1" ht="22.5" spans="1:37">
      <c r="A21" s="31">
        <f t="shared" si="0"/>
        <v>14</v>
      </c>
      <c r="B21" s="59"/>
      <c r="C21" s="31" t="s">
        <v>1155</v>
      </c>
      <c r="D21" s="31" t="s">
        <v>535</v>
      </c>
      <c r="E21" s="31" t="s">
        <v>1156</v>
      </c>
      <c r="F21" s="31" t="s">
        <v>141</v>
      </c>
      <c r="G21" s="31" t="s">
        <v>142</v>
      </c>
      <c r="H21" s="31">
        <v>256</v>
      </c>
      <c r="I21" s="43"/>
      <c r="J21" s="31"/>
      <c r="K21" s="31"/>
      <c r="L21" s="87"/>
      <c r="M21" s="32"/>
      <c r="N21" s="3"/>
      <c r="O21" s="3"/>
      <c r="P21" s="3"/>
      <c r="Q21" s="3"/>
      <c r="R21" s="91"/>
      <c r="S21" s="3"/>
      <c r="T21" s="3"/>
      <c r="U21" s="31">
        <f t="shared" si="1"/>
        <v>14</v>
      </c>
      <c r="V21" s="59"/>
      <c r="W21" s="31" t="s">
        <v>1155</v>
      </c>
      <c r="X21" s="31" t="s">
        <v>535</v>
      </c>
      <c r="Y21" s="31" t="s">
        <v>1157</v>
      </c>
      <c r="Z21" s="31" t="s">
        <v>141</v>
      </c>
      <c r="AA21" s="31" t="s">
        <v>142</v>
      </c>
      <c r="AB21" s="31">
        <v>256</v>
      </c>
      <c r="AC21" s="43"/>
      <c r="AD21" s="31"/>
      <c r="AE21" s="31"/>
      <c r="AF21" s="87"/>
      <c r="AG21" s="32"/>
      <c r="AH21" s="3"/>
      <c r="AI21" s="3"/>
      <c r="AJ21" s="3"/>
      <c r="AK21" s="3"/>
    </row>
    <row r="22" s="2" customFormat="1" spans="1:37">
      <c r="A22" s="31">
        <f t="shared" si="0"/>
        <v>15</v>
      </c>
      <c r="B22" s="59"/>
      <c r="C22" s="31" t="s">
        <v>1158</v>
      </c>
      <c r="D22" s="31" t="s">
        <v>6</v>
      </c>
      <c r="E22" s="31"/>
      <c r="F22" s="31" t="s">
        <v>141</v>
      </c>
      <c r="G22" s="31" t="s">
        <v>142</v>
      </c>
      <c r="H22" s="31">
        <v>256</v>
      </c>
      <c r="I22" s="43"/>
      <c r="J22" s="31"/>
      <c r="K22" s="31"/>
      <c r="L22" s="87"/>
      <c r="M22" s="32"/>
      <c r="N22" s="3"/>
      <c r="O22" s="3"/>
      <c r="P22" s="3"/>
      <c r="Q22" s="3"/>
      <c r="R22" s="91"/>
      <c r="S22" s="3"/>
      <c r="T22" s="3"/>
      <c r="U22" s="31">
        <f t="shared" si="1"/>
        <v>15</v>
      </c>
      <c r="V22" s="59"/>
      <c r="W22" s="31" t="s">
        <v>1158</v>
      </c>
      <c r="X22" s="31" t="s">
        <v>6</v>
      </c>
      <c r="Y22" s="31"/>
      <c r="Z22" s="31" t="s">
        <v>141</v>
      </c>
      <c r="AA22" s="31" t="s">
        <v>142</v>
      </c>
      <c r="AB22" s="31">
        <v>256</v>
      </c>
      <c r="AC22" s="43"/>
      <c r="AD22" s="31"/>
      <c r="AE22" s="31"/>
      <c r="AF22" s="87"/>
      <c r="AG22" s="32"/>
      <c r="AH22" s="3"/>
      <c r="AI22" s="3"/>
      <c r="AJ22" s="3"/>
      <c r="AK22" s="3"/>
    </row>
    <row r="23" s="2" customFormat="1" ht="22.5" spans="1:33">
      <c r="A23" s="33">
        <f t="shared" si="0"/>
        <v>16</v>
      </c>
      <c r="B23" s="34"/>
      <c r="C23" s="33" t="s">
        <v>150</v>
      </c>
      <c r="D23" s="35" t="s">
        <v>151</v>
      </c>
      <c r="E23" s="33" t="s">
        <v>152</v>
      </c>
      <c r="F23" s="33" t="s">
        <v>153</v>
      </c>
      <c r="G23" s="33" t="s">
        <v>154</v>
      </c>
      <c r="H23" s="33" t="s">
        <v>8</v>
      </c>
      <c r="I23" s="45" t="s">
        <v>22</v>
      </c>
      <c r="J23" s="225" t="s">
        <v>155</v>
      </c>
      <c r="K23" s="33"/>
      <c r="L23" s="33"/>
      <c r="M23" s="33" t="s">
        <v>156</v>
      </c>
      <c r="R23" s="70"/>
      <c r="U23" s="76">
        <f t="shared" si="1"/>
        <v>16</v>
      </c>
      <c r="V23" s="77"/>
      <c r="W23" s="76" t="s">
        <v>150</v>
      </c>
      <c r="X23" s="78" t="s">
        <v>151</v>
      </c>
      <c r="Y23" s="76" t="s">
        <v>644</v>
      </c>
      <c r="Z23" s="76" t="s">
        <v>153</v>
      </c>
      <c r="AA23" s="76" t="s">
        <v>154</v>
      </c>
      <c r="AB23" s="76" t="s">
        <v>8</v>
      </c>
      <c r="AC23" s="81" t="s">
        <v>22</v>
      </c>
      <c r="AD23" s="230" t="s">
        <v>155</v>
      </c>
      <c r="AE23" s="76"/>
      <c r="AF23" s="76"/>
      <c r="AG23" s="76" t="s">
        <v>617</v>
      </c>
    </row>
    <row r="24" s="2" customFormat="1" ht="22.5" spans="1:33">
      <c r="A24" s="33">
        <f t="shared" si="0"/>
        <v>17</v>
      </c>
      <c r="B24" s="34"/>
      <c r="C24" s="33" t="s">
        <v>159</v>
      </c>
      <c r="D24" s="35" t="s">
        <v>160</v>
      </c>
      <c r="E24" s="33" t="s">
        <v>161</v>
      </c>
      <c r="F24" s="33" t="s">
        <v>153</v>
      </c>
      <c r="G24" s="33" t="s">
        <v>162</v>
      </c>
      <c r="H24" s="33"/>
      <c r="I24" s="45" t="s">
        <v>22</v>
      </c>
      <c r="J24" s="33">
        <v>0</v>
      </c>
      <c r="K24" s="33"/>
      <c r="L24" s="33"/>
      <c r="M24" s="33"/>
      <c r="R24" s="70"/>
      <c r="U24" s="76">
        <f t="shared" si="1"/>
        <v>17</v>
      </c>
      <c r="V24" s="77"/>
      <c r="W24" s="76" t="s">
        <v>159</v>
      </c>
      <c r="X24" s="78" t="s">
        <v>160</v>
      </c>
      <c r="Y24" s="76" t="s">
        <v>163</v>
      </c>
      <c r="Z24" s="76" t="s">
        <v>153</v>
      </c>
      <c r="AA24" s="76" t="s">
        <v>162</v>
      </c>
      <c r="AB24" s="76"/>
      <c r="AC24" s="81" t="s">
        <v>22</v>
      </c>
      <c r="AD24" s="76">
        <v>0</v>
      </c>
      <c r="AE24" s="76"/>
      <c r="AF24" s="76"/>
      <c r="AG24" s="76"/>
    </row>
    <row r="25" s="2" customFormat="1" spans="1:33">
      <c r="A25" s="33">
        <f t="shared" si="0"/>
        <v>18</v>
      </c>
      <c r="B25" s="34"/>
      <c r="C25" s="33" t="s">
        <v>164</v>
      </c>
      <c r="D25" s="35" t="s">
        <v>165</v>
      </c>
      <c r="E25" s="33"/>
      <c r="F25" s="33" t="s">
        <v>141</v>
      </c>
      <c r="G25" s="33" t="s">
        <v>142</v>
      </c>
      <c r="H25" s="33">
        <v>32</v>
      </c>
      <c r="I25" s="45"/>
      <c r="J25" s="33"/>
      <c r="K25" s="33"/>
      <c r="L25" s="33"/>
      <c r="M25" s="33"/>
      <c r="R25" s="70"/>
      <c r="U25" s="76">
        <f t="shared" si="1"/>
        <v>18</v>
      </c>
      <c r="V25" s="77"/>
      <c r="W25" s="76" t="s">
        <v>164</v>
      </c>
      <c r="X25" s="78" t="s">
        <v>165</v>
      </c>
      <c r="Y25" s="76"/>
      <c r="Z25" s="76" t="s">
        <v>141</v>
      </c>
      <c r="AA25" s="76" t="s">
        <v>142</v>
      </c>
      <c r="AB25" s="76">
        <v>32</v>
      </c>
      <c r="AC25" s="81"/>
      <c r="AD25" s="76"/>
      <c r="AE25" s="76"/>
      <c r="AF25" s="76"/>
      <c r="AG25" s="76"/>
    </row>
    <row r="26" s="2" customFormat="1" spans="1:33">
      <c r="A26" s="33">
        <f t="shared" si="0"/>
        <v>19</v>
      </c>
      <c r="B26" s="34"/>
      <c r="C26" s="33" t="s">
        <v>166</v>
      </c>
      <c r="D26" s="35" t="s">
        <v>167</v>
      </c>
      <c r="E26" s="33"/>
      <c r="F26" s="33" t="s">
        <v>153</v>
      </c>
      <c r="G26" s="33" t="s">
        <v>142</v>
      </c>
      <c r="H26" s="33">
        <v>32</v>
      </c>
      <c r="I26" s="45"/>
      <c r="J26" s="33"/>
      <c r="K26" s="33"/>
      <c r="L26" s="33"/>
      <c r="M26" s="33" t="s">
        <v>168</v>
      </c>
      <c r="R26" s="70"/>
      <c r="U26" s="76">
        <f t="shared" si="1"/>
        <v>19</v>
      </c>
      <c r="V26" s="77"/>
      <c r="W26" s="76" t="s">
        <v>166</v>
      </c>
      <c r="X26" s="78" t="s">
        <v>167</v>
      </c>
      <c r="Y26" s="76"/>
      <c r="Z26" s="76" t="s">
        <v>153</v>
      </c>
      <c r="AA26" s="76" t="s">
        <v>142</v>
      </c>
      <c r="AB26" s="76">
        <v>32</v>
      </c>
      <c r="AC26" s="81"/>
      <c r="AD26" s="76"/>
      <c r="AE26" s="76"/>
      <c r="AF26" s="76"/>
      <c r="AG26" s="76" t="s">
        <v>1159</v>
      </c>
    </row>
    <row r="27" s="2" customFormat="1" spans="1:33">
      <c r="A27" s="33">
        <f t="shared" si="0"/>
        <v>20</v>
      </c>
      <c r="B27" s="34"/>
      <c r="C27" s="36" t="s">
        <v>170</v>
      </c>
      <c r="D27" s="35" t="s">
        <v>171</v>
      </c>
      <c r="E27" s="33"/>
      <c r="F27" s="33" t="s">
        <v>172</v>
      </c>
      <c r="G27" s="33" t="s">
        <v>173</v>
      </c>
      <c r="H27" s="33" t="s">
        <v>8</v>
      </c>
      <c r="I27" s="45" t="s">
        <v>22</v>
      </c>
      <c r="J27" s="33"/>
      <c r="K27" s="33"/>
      <c r="L27" s="33"/>
      <c r="M27" s="33"/>
      <c r="R27" s="70"/>
      <c r="U27" s="76">
        <f t="shared" si="1"/>
        <v>20</v>
      </c>
      <c r="V27" s="77"/>
      <c r="W27" s="76" t="s">
        <v>351</v>
      </c>
      <c r="X27" s="78" t="s">
        <v>171</v>
      </c>
      <c r="Y27" s="76"/>
      <c r="Z27" s="76" t="s">
        <v>172</v>
      </c>
      <c r="AA27" s="76" t="s">
        <v>173</v>
      </c>
      <c r="AB27" s="76" t="s">
        <v>8</v>
      </c>
      <c r="AC27" s="81" t="s">
        <v>22</v>
      </c>
      <c r="AD27" s="76"/>
      <c r="AE27" s="76"/>
      <c r="AF27" s="76"/>
      <c r="AG27" s="76"/>
    </row>
    <row r="28" s="2" customFormat="1" spans="1:33">
      <c r="A28" s="33">
        <f t="shared" si="0"/>
        <v>21</v>
      </c>
      <c r="B28" s="34"/>
      <c r="C28" s="33" t="s">
        <v>174</v>
      </c>
      <c r="D28" s="35" t="s">
        <v>175</v>
      </c>
      <c r="E28" s="33"/>
      <c r="F28" s="33" t="s">
        <v>141</v>
      </c>
      <c r="G28" s="33" t="s">
        <v>142</v>
      </c>
      <c r="H28" s="33">
        <v>32</v>
      </c>
      <c r="I28" s="45"/>
      <c r="J28" s="33"/>
      <c r="K28" s="33"/>
      <c r="L28" s="33"/>
      <c r="M28" s="33"/>
      <c r="R28" s="70"/>
      <c r="U28" s="76">
        <f t="shared" si="1"/>
        <v>21</v>
      </c>
      <c r="V28" s="77"/>
      <c r="W28" s="76" t="s">
        <v>174</v>
      </c>
      <c r="X28" s="78" t="s">
        <v>175</v>
      </c>
      <c r="Y28" s="76"/>
      <c r="Z28" s="76" t="s">
        <v>141</v>
      </c>
      <c r="AA28" s="76" t="s">
        <v>142</v>
      </c>
      <c r="AB28" s="76">
        <v>32</v>
      </c>
      <c r="AC28" s="81"/>
      <c r="AD28" s="76"/>
      <c r="AE28" s="76"/>
      <c r="AF28" s="76"/>
      <c r="AG28" s="76"/>
    </row>
    <row r="29" s="2" customFormat="1" ht="22.5" spans="1:33">
      <c r="A29" s="33">
        <f t="shared" si="0"/>
        <v>22</v>
      </c>
      <c r="B29" s="34"/>
      <c r="C29" s="33" t="s">
        <v>176</v>
      </c>
      <c r="D29" s="35" t="s">
        <v>177</v>
      </c>
      <c r="E29" s="33" t="s">
        <v>178</v>
      </c>
      <c r="F29" s="33" t="s">
        <v>153</v>
      </c>
      <c r="G29" s="33" t="s">
        <v>142</v>
      </c>
      <c r="H29" s="33">
        <v>32</v>
      </c>
      <c r="I29" s="45"/>
      <c r="J29" s="33"/>
      <c r="K29" s="33"/>
      <c r="L29" s="33"/>
      <c r="M29" s="33" t="s">
        <v>179</v>
      </c>
      <c r="R29" s="70"/>
      <c r="U29" s="76">
        <f t="shared" si="1"/>
        <v>22</v>
      </c>
      <c r="V29" s="77"/>
      <c r="W29" s="76" t="s">
        <v>176</v>
      </c>
      <c r="X29" s="78" t="s">
        <v>177</v>
      </c>
      <c r="Y29" s="76" t="s">
        <v>180</v>
      </c>
      <c r="Z29" s="76" t="s">
        <v>153</v>
      </c>
      <c r="AA29" s="76" t="s">
        <v>142</v>
      </c>
      <c r="AB29" s="76">
        <v>32</v>
      </c>
      <c r="AC29" s="81"/>
      <c r="AD29" s="76"/>
      <c r="AE29" s="76"/>
      <c r="AF29" s="76"/>
      <c r="AG29" s="76" t="s">
        <v>1160</v>
      </c>
    </row>
    <row r="30" s="2" customFormat="1" spans="1:33">
      <c r="A30" s="33">
        <f t="shared" si="0"/>
        <v>23</v>
      </c>
      <c r="B30" s="34"/>
      <c r="C30" s="36" t="s">
        <v>182</v>
      </c>
      <c r="D30" s="35" t="s">
        <v>183</v>
      </c>
      <c r="E30" s="33"/>
      <c r="F30" s="33" t="s">
        <v>172</v>
      </c>
      <c r="G30" s="33" t="s">
        <v>173</v>
      </c>
      <c r="H30" s="33" t="s">
        <v>8</v>
      </c>
      <c r="I30" s="45" t="s">
        <v>22</v>
      </c>
      <c r="J30" s="33"/>
      <c r="K30" s="33"/>
      <c r="L30" s="33"/>
      <c r="M30" s="33"/>
      <c r="R30" s="70"/>
      <c r="U30" s="76">
        <f t="shared" si="1"/>
        <v>23</v>
      </c>
      <c r="V30" s="77"/>
      <c r="W30" s="76" t="s">
        <v>353</v>
      </c>
      <c r="X30" s="78" t="s">
        <v>183</v>
      </c>
      <c r="Y30" s="76"/>
      <c r="Z30" s="76" t="s">
        <v>172</v>
      </c>
      <c r="AA30" s="76" t="s">
        <v>173</v>
      </c>
      <c r="AB30" s="76" t="s">
        <v>8</v>
      </c>
      <c r="AC30" s="81" t="s">
        <v>22</v>
      </c>
      <c r="AD30" s="76"/>
      <c r="AE30" s="76"/>
      <c r="AF30" s="76"/>
      <c r="AG30" s="76"/>
    </row>
    <row r="31" s="47" customFormat="1" spans="1:33">
      <c r="A31" s="2"/>
      <c r="B31" s="3"/>
      <c r="C31" s="2"/>
      <c r="D31" s="3"/>
      <c r="E31" s="2"/>
      <c r="F31" s="2"/>
      <c r="G31" s="2"/>
      <c r="H31" s="2"/>
      <c r="I31" s="4"/>
      <c r="J31" s="2"/>
      <c r="K31" s="2"/>
      <c r="L31" s="2"/>
      <c r="M31" s="2"/>
      <c r="R31" s="85"/>
      <c r="U31" s="2"/>
      <c r="V31" s="3"/>
      <c r="W31" s="2"/>
      <c r="X31" s="3"/>
      <c r="Y31" s="2"/>
      <c r="Z31" s="2"/>
      <c r="AA31" s="2"/>
      <c r="AB31" s="2"/>
      <c r="AC31" s="4"/>
      <c r="AD31" s="2"/>
      <c r="AE31" s="2"/>
      <c r="AF31" s="2"/>
      <c r="AG31" s="2"/>
    </row>
    <row r="32" spans="1:29">
      <c r="A32" s="6"/>
      <c r="B32" s="7" t="s">
        <v>15</v>
      </c>
      <c r="C32" s="8" t="s">
        <v>60</v>
      </c>
      <c r="D32" s="9"/>
      <c r="I32" s="37"/>
      <c r="U32" s="6"/>
      <c r="V32" s="7" t="s">
        <v>86</v>
      </c>
      <c r="W32" s="8" t="s">
        <v>60</v>
      </c>
      <c r="X32" s="9"/>
      <c r="AC32" s="37"/>
    </row>
    <row r="33" spans="1:33">
      <c r="A33" s="10"/>
      <c r="B33" s="11" t="s">
        <v>124</v>
      </c>
      <c r="C33" s="8" t="str">
        <f>テーブル一覧!E18</f>
        <v>T_SOD_QUE_REQUEST</v>
      </c>
      <c r="D33" s="9"/>
      <c r="E33" s="2" t="s">
        <v>1161</v>
      </c>
      <c r="F33" s="3"/>
      <c r="G33" s="3"/>
      <c r="H33" s="3"/>
      <c r="I33" s="37"/>
      <c r="J33" s="3"/>
      <c r="K33" s="3"/>
      <c r="L33" s="3"/>
      <c r="M33" s="38"/>
      <c r="U33" s="10"/>
      <c r="V33" s="11" t="s">
        <v>125</v>
      </c>
      <c r="W33" s="8">
        <f>D33</f>
        <v>0</v>
      </c>
      <c r="X33" s="9"/>
      <c r="Y33" s="2" t="s">
        <v>1161</v>
      </c>
      <c r="Z33" s="3"/>
      <c r="AA33" s="3"/>
      <c r="AB33" s="3"/>
      <c r="AC33" s="37"/>
      <c r="AD33" s="3"/>
      <c r="AE33" s="3"/>
      <c r="AF33" s="3"/>
      <c r="AG33" s="38"/>
    </row>
    <row r="34" ht="22.5" spans="1:33">
      <c r="A34" s="12" t="s">
        <v>0</v>
      </c>
      <c r="B34" s="13"/>
      <c r="C34" s="14" t="s">
        <v>126</v>
      </c>
      <c r="D34" s="15" t="s">
        <v>15</v>
      </c>
      <c r="E34" s="14" t="s">
        <v>16</v>
      </c>
      <c r="F34" s="16" t="s">
        <v>127</v>
      </c>
      <c r="G34" s="14" t="s">
        <v>127</v>
      </c>
      <c r="H34" s="14" t="s">
        <v>128</v>
      </c>
      <c r="I34" s="39" t="s">
        <v>129</v>
      </c>
      <c r="J34" s="14" t="s">
        <v>130</v>
      </c>
      <c r="K34" s="14" t="s">
        <v>131</v>
      </c>
      <c r="L34" s="14" t="s">
        <v>132</v>
      </c>
      <c r="M34" s="14" t="s">
        <v>6</v>
      </c>
      <c r="U34" s="12" t="s">
        <v>0</v>
      </c>
      <c r="V34" s="13"/>
      <c r="W34" s="14" t="s">
        <v>133</v>
      </c>
      <c r="X34" s="15" t="s">
        <v>86</v>
      </c>
      <c r="Y34" s="14" t="s">
        <v>87</v>
      </c>
      <c r="Z34" s="16" t="s">
        <v>134</v>
      </c>
      <c r="AA34" s="14" t="s">
        <v>134</v>
      </c>
      <c r="AB34" s="14" t="s">
        <v>128</v>
      </c>
      <c r="AC34" s="39" t="s">
        <v>135</v>
      </c>
      <c r="AD34" s="14" t="s">
        <v>130</v>
      </c>
      <c r="AE34" s="14" t="s">
        <v>136</v>
      </c>
      <c r="AF34" s="14" t="s">
        <v>132</v>
      </c>
      <c r="AG34" s="14" t="s">
        <v>137</v>
      </c>
    </row>
    <row r="35" s="2" customFormat="1" spans="1:37">
      <c r="A35" s="31">
        <v>1</v>
      </c>
      <c r="B35" s="59"/>
      <c r="C35" s="31" t="s">
        <v>139</v>
      </c>
      <c r="D35" s="31" t="s">
        <v>1162</v>
      </c>
      <c r="E35" s="32"/>
      <c r="F35" s="32" t="s">
        <v>301</v>
      </c>
      <c r="G35" s="32" t="s">
        <v>302</v>
      </c>
      <c r="H35" s="32" t="s">
        <v>8</v>
      </c>
      <c r="I35" s="64" t="s">
        <v>22</v>
      </c>
      <c r="J35" s="32"/>
      <c r="K35" s="32" t="s">
        <v>303</v>
      </c>
      <c r="L35" s="32" t="s">
        <v>188</v>
      </c>
      <c r="M35" s="32"/>
      <c r="N35" s="3"/>
      <c r="O35" s="3"/>
      <c r="P35" s="3"/>
      <c r="Q35" s="3"/>
      <c r="R35" s="91"/>
      <c r="S35" s="3"/>
      <c r="T35" s="3"/>
      <c r="U35" s="31">
        <v>1</v>
      </c>
      <c r="V35" s="59"/>
      <c r="W35" s="31" t="s">
        <v>139</v>
      </c>
      <c r="X35" s="31" t="s">
        <v>1162</v>
      </c>
      <c r="Y35" s="32"/>
      <c r="Z35" s="32" t="s">
        <v>301</v>
      </c>
      <c r="AA35" s="79" t="s">
        <v>302</v>
      </c>
      <c r="AB35" s="32" t="s">
        <v>8</v>
      </c>
      <c r="AC35" s="64" t="s">
        <v>22</v>
      </c>
      <c r="AD35" s="32"/>
      <c r="AE35" s="32" t="s">
        <v>303</v>
      </c>
      <c r="AF35" s="32" t="s">
        <v>188</v>
      </c>
      <c r="AG35" s="32"/>
      <c r="AH35" s="3"/>
      <c r="AI35" s="3"/>
      <c r="AJ35" s="3"/>
      <c r="AK35" s="3"/>
    </row>
    <row r="36" s="2" customFormat="1" spans="1:37">
      <c r="A36" s="31">
        <f t="shared" ref="A36:A90" si="2">A35+1</f>
        <v>2</v>
      </c>
      <c r="B36" s="59"/>
      <c r="C36" s="31" t="s">
        <v>1111</v>
      </c>
      <c r="D36" s="31" t="s">
        <v>1112</v>
      </c>
      <c r="E36" s="31" t="s">
        <v>1113</v>
      </c>
      <c r="F36" s="31" t="s">
        <v>141</v>
      </c>
      <c r="G36" s="31" t="s">
        <v>142</v>
      </c>
      <c r="H36" s="31">
        <v>15</v>
      </c>
      <c r="I36" s="43" t="s">
        <v>22</v>
      </c>
      <c r="J36" s="31"/>
      <c r="K36" s="31"/>
      <c r="L36" s="52" t="s">
        <v>310</v>
      </c>
      <c r="M36" s="31"/>
      <c r="N36" s="3"/>
      <c r="O36" s="3"/>
      <c r="P36" s="3"/>
      <c r="Q36" s="3"/>
      <c r="R36" s="91"/>
      <c r="S36" s="3"/>
      <c r="T36" s="3"/>
      <c r="U36" s="31">
        <f t="shared" ref="U36:U79" si="3">U35+1</f>
        <v>2</v>
      </c>
      <c r="V36" s="59"/>
      <c r="W36" s="31" t="s">
        <v>1111</v>
      </c>
      <c r="X36" s="31" t="s">
        <v>1112</v>
      </c>
      <c r="Y36" s="31" t="s">
        <v>1114</v>
      </c>
      <c r="Z36" s="31" t="s">
        <v>141</v>
      </c>
      <c r="AA36" s="31" t="s">
        <v>142</v>
      </c>
      <c r="AB36" s="31">
        <v>15</v>
      </c>
      <c r="AC36" s="43" t="s">
        <v>22</v>
      </c>
      <c r="AD36" s="31"/>
      <c r="AE36" s="31"/>
      <c r="AF36" s="52" t="s">
        <v>310</v>
      </c>
      <c r="AG36" s="31"/>
      <c r="AH36" s="3"/>
      <c r="AI36" s="3"/>
      <c r="AJ36" s="3"/>
      <c r="AK36" s="3"/>
    </row>
    <row r="37" s="86" customFormat="1" ht="409.5" spans="1:37">
      <c r="A37" s="32">
        <f t="shared" si="2"/>
        <v>3</v>
      </c>
      <c r="B37" s="59" t="s">
        <v>393</v>
      </c>
      <c r="C37" s="32" t="s">
        <v>1115</v>
      </c>
      <c r="D37" s="32" t="s">
        <v>1116</v>
      </c>
      <c r="E37" s="32" t="s">
        <v>396</v>
      </c>
      <c r="F37" s="32" t="s">
        <v>141</v>
      </c>
      <c r="G37" s="31" t="s">
        <v>142</v>
      </c>
      <c r="H37" s="32">
        <v>5</v>
      </c>
      <c r="I37" s="64" t="s">
        <v>22</v>
      </c>
      <c r="J37" s="32"/>
      <c r="K37" s="32"/>
      <c r="L37" s="52" t="s">
        <v>315</v>
      </c>
      <c r="M37" s="67"/>
      <c r="N37" s="88"/>
      <c r="O37" s="3"/>
      <c r="P37" s="88"/>
      <c r="Q37" s="88"/>
      <c r="R37" s="91"/>
      <c r="S37" s="88"/>
      <c r="T37" s="88"/>
      <c r="U37" s="32">
        <f t="shared" si="3"/>
        <v>3</v>
      </c>
      <c r="V37" s="51"/>
      <c r="W37" s="32" t="s">
        <v>1115</v>
      </c>
      <c r="X37" s="32" t="s">
        <v>1116</v>
      </c>
      <c r="Y37" s="74" t="s">
        <v>1117</v>
      </c>
      <c r="Z37" s="32" t="s">
        <v>141</v>
      </c>
      <c r="AA37" s="31" t="s">
        <v>142</v>
      </c>
      <c r="AB37" s="32">
        <v>5</v>
      </c>
      <c r="AC37" s="64" t="s">
        <v>22</v>
      </c>
      <c r="AD37" s="32"/>
      <c r="AE37" s="32"/>
      <c r="AF37" s="52" t="s">
        <v>315</v>
      </c>
      <c r="AG37" s="67"/>
      <c r="AH37" s="88"/>
      <c r="AI37" s="3"/>
      <c r="AJ37" s="88"/>
      <c r="AK37" s="88"/>
    </row>
    <row r="38" s="2" customFormat="1" ht="67.5" spans="1:37">
      <c r="A38" s="32">
        <f t="shared" si="2"/>
        <v>4</v>
      </c>
      <c r="B38" s="59"/>
      <c r="C38" s="31" t="s">
        <v>344</v>
      </c>
      <c r="D38" s="31" t="s">
        <v>1163</v>
      </c>
      <c r="E38" s="31" t="s">
        <v>1164</v>
      </c>
      <c r="F38" s="31" t="s">
        <v>153</v>
      </c>
      <c r="G38" s="31" t="s">
        <v>254</v>
      </c>
      <c r="H38" s="31" t="s">
        <v>8</v>
      </c>
      <c r="I38" s="43" t="s">
        <v>22</v>
      </c>
      <c r="J38" s="31">
        <v>1</v>
      </c>
      <c r="K38" s="31"/>
      <c r="L38" s="31"/>
      <c r="M38" s="31"/>
      <c r="N38" s="3"/>
      <c r="O38" s="3"/>
      <c r="P38" s="3"/>
      <c r="Q38" s="3"/>
      <c r="R38" s="91"/>
      <c r="S38" s="3"/>
      <c r="T38" s="3"/>
      <c r="U38" s="32">
        <f t="shared" si="3"/>
        <v>4</v>
      </c>
      <c r="V38" s="59"/>
      <c r="W38" s="31" t="s">
        <v>344</v>
      </c>
      <c r="X38" s="31" t="s">
        <v>1163</v>
      </c>
      <c r="Y38" s="31" t="s">
        <v>1165</v>
      </c>
      <c r="Z38" s="31" t="s">
        <v>153</v>
      </c>
      <c r="AA38" s="31" t="s">
        <v>254</v>
      </c>
      <c r="AB38" s="31" t="s">
        <v>8</v>
      </c>
      <c r="AC38" s="43" t="s">
        <v>22</v>
      </c>
      <c r="AD38" s="31">
        <v>1</v>
      </c>
      <c r="AE38" s="31"/>
      <c r="AF38" s="31"/>
      <c r="AG38" s="31"/>
      <c r="AH38" s="3"/>
      <c r="AI38" s="3"/>
      <c r="AJ38" s="3"/>
      <c r="AK38" s="3"/>
    </row>
    <row r="39" s="2" customFormat="1" spans="1:37">
      <c r="A39" s="53">
        <f t="shared" si="2"/>
        <v>5</v>
      </c>
      <c r="B39" s="54"/>
      <c r="C39" s="53" t="s">
        <v>1166</v>
      </c>
      <c r="D39" s="55" t="s">
        <v>1167</v>
      </c>
      <c r="E39" s="53"/>
      <c r="F39" s="53" t="s">
        <v>153</v>
      </c>
      <c r="G39" s="53" t="s">
        <v>254</v>
      </c>
      <c r="H39" s="53" t="s">
        <v>8</v>
      </c>
      <c r="I39" s="65" t="s">
        <v>22</v>
      </c>
      <c r="J39" s="53">
        <v>0</v>
      </c>
      <c r="K39" s="53"/>
      <c r="L39" s="53"/>
      <c r="M39" s="53" t="s">
        <v>230</v>
      </c>
      <c r="N39" s="3"/>
      <c r="O39" s="3"/>
      <c r="P39" s="3"/>
      <c r="Q39" s="3"/>
      <c r="R39" s="91"/>
      <c r="S39" s="3"/>
      <c r="T39" s="3"/>
      <c r="U39" s="31">
        <f t="shared" si="3"/>
        <v>5</v>
      </c>
      <c r="V39" s="59"/>
      <c r="W39" s="31" t="s">
        <v>1166</v>
      </c>
      <c r="X39" s="87" t="s">
        <v>1167</v>
      </c>
      <c r="Y39" s="31"/>
      <c r="Z39" s="31" t="s">
        <v>153</v>
      </c>
      <c r="AA39" s="31" t="s">
        <v>254</v>
      </c>
      <c r="AB39" s="31" t="s">
        <v>8</v>
      </c>
      <c r="AC39" s="43" t="s">
        <v>22</v>
      </c>
      <c r="AD39" s="31">
        <v>0</v>
      </c>
      <c r="AE39" s="31"/>
      <c r="AF39" s="31"/>
      <c r="AG39" s="31"/>
      <c r="AH39" s="3"/>
      <c r="AI39" s="3"/>
      <c r="AJ39" s="3"/>
      <c r="AK39" s="3"/>
    </row>
    <row r="40" s="2" customFormat="1" spans="1:37">
      <c r="A40" s="31">
        <f t="shared" si="2"/>
        <v>6</v>
      </c>
      <c r="B40" s="59"/>
      <c r="C40" s="31" t="s">
        <v>1168</v>
      </c>
      <c r="D40" s="31" t="s">
        <v>1169</v>
      </c>
      <c r="E40" s="31"/>
      <c r="F40" s="31" t="s">
        <v>141</v>
      </c>
      <c r="G40" s="31" t="s">
        <v>142</v>
      </c>
      <c r="H40" s="31">
        <v>256</v>
      </c>
      <c r="I40" s="43"/>
      <c r="J40" s="31"/>
      <c r="K40" s="31"/>
      <c r="L40" s="87"/>
      <c r="M40" s="31"/>
      <c r="N40" s="3"/>
      <c r="O40" s="3"/>
      <c r="P40" s="3"/>
      <c r="Q40" s="3"/>
      <c r="R40" s="91"/>
      <c r="S40" s="3"/>
      <c r="T40" s="3"/>
      <c r="U40" s="31">
        <f t="shared" si="3"/>
        <v>6</v>
      </c>
      <c r="V40" s="59"/>
      <c r="W40" s="31" t="s">
        <v>1168</v>
      </c>
      <c r="X40" s="31" t="s">
        <v>1169</v>
      </c>
      <c r="Y40" s="31"/>
      <c r="Z40" s="31" t="s">
        <v>141</v>
      </c>
      <c r="AA40" s="31" t="s">
        <v>142</v>
      </c>
      <c r="AB40" s="31">
        <v>256</v>
      </c>
      <c r="AC40" s="43"/>
      <c r="AD40" s="31"/>
      <c r="AE40" s="31"/>
      <c r="AF40" s="87"/>
      <c r="AG40" s="31"/>
      <c r="AH40" s="3"/>
      <c r="AI40" s="3"/>
      <c r="AJ40" s="3"/>
      <c r="AK40" s="3"/>
    </row>
    <row r="41" s="2" customFormat="1" spans="1:37">
      <c r="A41" s="31">
        <f t="shared" si="2"/>
        <v>7</v>
      </c>
      <c r="B41" s="59"/>
      <c r="C41" s="31" t="s">
        <v>1170</v>
      </c>
      <c r="D41" s="31" t="s">
        <v>1171</v>
      </c>
      <c r="E41" s="31"/>
      <c r="F41" s="31" t="s">
        <v>141</v>
      </c>
      <c r="G41" s="31" t="s">
        <v>142</v>
      </c>
      <c r="H41" s="31">
        <v>256</v>
      </c>
      <c r="I41" s="43"/>
      <c r="J41" s="31"/>
      <c r="K41" s="31"/>
      <c r="L41" s="87"/>
      <c r="M41" s="31"/>
      <c r="N41" s="3"/>
      <c r="O41" s="3"/>
      <c r="P41" s="3"/>
      <c r="Q41" s="3"/>
      <c r="R41" s="91"/>
      <c r="S41" s="3"/>
      <c r="T41" s="3"/>
      <c r="U41" s="31">
        <f t="shared" si="3"/>
        <v>7</v>
      </c>
      <c r="V41" s="59"/>
      <c r="W41" s="31" t="s">
        <v>1170</v>
      </c>
      <c r="X41" s="31" t="s">
        <v>1171</v>
      </c>
      <c r="Y41" s="31"/>
      <c r="Z41" s="31" t="s">
        <v>141</v>
      </c>
      <c r="AA41" s="31" t="s">
        <v>142</v>
      </c>
      <c r="AB41" s="31">
        <v>256</v>
      </c>
      <c r="AC41" s="43"/>
      <c r="AD41" s="31"/>
      <c r="AE41" s="31"/>
      <c r="AF41" s="87"/>
      <c r="AG41" s="31"/>
      <c r="AH41" s="3"/>
      <c r="AI41" s="3"/>
      <c r="AJ41" s="3"/>
      <c r="AK41" s="3"/>
    </row>
    <row r="42" s="2" customFormat="1" spans="1:37">
      <c r="A42" s="31">
        <f t="shared" si="2"/>
        <v>8</v>
      </c>
      <c r="B42" s="59"/>
      <c r="C42" s="31" t="s">
        <v>1172</v>
      </c>
      <c r="D42" s="31" t="s">
        <v>1173</v>
      </c>
      <c r="E42" s="31"/>
      <c r="F42" s="31" t="s">
        <v>141</v>
      </c>
      <c r="G42" s="31" t="s">
        <v>142</v>
      </c>
      <c r="H42" s="31">
        <v>256</v>
      </c>
      <c r="I42" s="43"/>
      <c r="J42" s="31"/>
      <c r="K42" s="31"/>
      <c r="L42" s="87"/>
      <c r="M42" s="31"/>
      <c r="N42" s="3"/>
      <c r="O42" s="3"/>
      <c r="P42" s="3"/>
      <c r="Q42" s="3"/>
      <c r="R42" s="91"/>
      <c r="S42" s="3"/>
      <c r="T42" s="3"/>
      <c r="U42" s="31">
        <f t="shared" si="3"/>
        <v>8</v>
      </c>
      <c r="V42" s="59"/>
      <c r="W42" s="31" t="s">
        <v>1172</v>
      </c>
      <c r="X42" s="31" t="s">
        <v>1173</v>
      </c>
      <c r="Y42" s="31"/>
      <c r="Z42" s="31" t="s">
        <v>141</v>
      </c>
      <c r="AA42" s="31" t="s">
        <v>142</v>
      </c>
      <c r="AB42" s="31">
        <v>256</v>
      </c>
      <c r="AC42" s="43"/>
      <c r="AD42" s="31"/>
      <c r="AE42" s="31"/>
      <c r="AF42" s="87"/>
      <c r="AG42" s="31"/>
      <c r="AH42" s="3"/>
      <c r="AI42" s="3"/>
      <c r="AJ42" s="3"/>
      <c r="AK42" s="3"/>
    </row>
    <row r="43" s="2" customFormat="1" spans="1:37">
      <c r="A43" s="31">
        <f t="shared" si="2"/>
        <v>9</v>
      </c>
      <c r="B43" s="59"/>
      <c r="C43" s="31" t="s">
        <v>1174</v>
      </c>
      <c r="D43" s="31" t="s">
        <v>1175</v>
      </c>
      <c r="E43" s="31"/>
      <c r="F43" s="31" t="s">
        <v>141</v>
      </c>
      <c r="G43" s="31" t="s">
        <v>142</v>
      </c>
      <c r="H43" s="31">
        <v>256</v>
      </c>
      <c r="I43" s="43"/>
      <c r="J43" s="31"/>
      <c r="K43" s="31"/>
      <c r="L43" s="87"/>
      <c r="M43" s="31"/>
      <c r="N43" s="3"/>
      <c r="O43" s="3"/>
      <c r="P43" s="3"/>
      <c r="Q43" s="3"/>
      <c r="R43" s="91"/>
      <c r="S43" s="3"/>
      <c r="T43" s="3"/>
      <c r="U43" s="31">
        <f t="shared" si="3"/>
        <v>9</v>
      </c>
      <c r="V43" s="59"/>
      <c r="W43" s="31" t="s">
        <v>1174</v>
      </c>
      <c r="X43" s="31" t="s">
        <v>1175</v>
      </c>
      <c r="Y43" s="31"/>
      <c r="Z43" s="31" t="s">
        <v>141</v>
      </c>
      <c r="AA43" s="31" t="s">
        <v>142</v>
      </c>
      <c r="AB43" s="31">
        <v>256</v>
      </c>
      <c r="AC43" s="43"/>
      <c r="AD43" s="31"/>
      <c r="AE43" s="31"/>
      <c r="AF43" s="87"/>
      <c r="AG43" s="31"/>
      <c r="AH43" s="3"/>
      <c r="AI43" s="3"/>
      <c r="AJ43" s="3"/>
      <c r="AK43" s="3"/>
    </row>
    <row r="44" s="2" customFormat="1" spans="1:37">
      <c r="A44" s="31">
        <f t="shared" si="2"/>
        <v>10</v>
      </c>
      <c r="B44" s="59"/>
      <c r="C44" s="31" t="s">
        <v>1176</v>
      </c>
      <c r="D44" s="31" t="s">
        <v>1177</v>
      </c>
      <c r="E44" s="31"/>
      <c r="F44" s="31" t="s">
        <v>141</v>
      </c>
      <c r="G44" s="31" t="s">
        <v>142</v>
      </c>
      <c r="H44" s="31">
        <v>256</v>
      </c>
      <c r="I44" s="43"/>
      <c r="J44" s="31"/>
      <c r="K44" s="31"/>
      <c r="L44" s="87"/>
      <c r="M44" s="31"/>
      <c r="N44" s="3"/>
      <c r="O44" s="3"/>
      <c r="P44" s="3"/>
      <c r="Q44" s="3"/>
      <c r="R44" s="91"/>
      <c r="S44" s="3"/>
      <c r="T44" s="3"/>
      <c r="U44" s="31">
        <f t="shared" si="3"/>
        <v>10</v>
      </c>
      <c r="V44" s="59"/>
      <c r="W44" s="31" t="s">
        <v>1176</v>
      </c>
      <c r="X44" s="31" t="s">
        <v>1177</v>
      </c>
      <c r="Y44" s="31"/>
      <c r="Z44" s="31" t="s">
        <v>141</v>
      </c>
      <c r="AA44" s="31" t="s">
        <v>142</v>
      </c>
      <c r="AB44" s="31">
        <v>256</v>
      </c>
      <c r="AC44" s="43"/>
      <c r="AD44" s="31"/>
      <c r="AE44" s="31"/>
      <c r="AF44" s="87"/>
      <c r="AG44" s="31"/>
      <c r="AH44" s="3"/>
      <c r="AI44" s="3"/>
      <c r="AJ44" s="3"/>
      <c r="AK44" s="3"/>
    </row>
    <row r="45" s="2" customFormat="1" spans="1:37">
      <c r="A45" s="31">
        <f t="shared" si="2"/>
        <v>11</v>
      </c>
      <c r="B45" s="59"/>
      <c r="C45" s="31" t="s">
        <v>1178</v>
      </c>
      <c r="D45" s="31" t="s">
        <v>1179</v>
      </c>
      <c r="E45" s="31"/>
      <c r="F45" s="31" t="s">
        <v>141</v>
      </c>
      <c r="G45" s="31" t="s">
        <v>142</v>
      </c>
      <c r="H45" s="31">
        <v>256</v>
      </c>
      <c r="I45" s="43"/>
      <c r="J45" s="31"/>
      <c r="K45" s="31"/>
      <c r="L45" s="87"/>
      <c r="M45" s="31"/>
      <c r="N45" s="3"/>
      <c r="O45" s="3"/>
      <c r="P45" s="3"/>
      <c r="Q45" s="3"/>
      <c r="R45" s="91"/>
      <c r="S45" s="3"/>
      <c r="T45" s="3"/>
      <c r="U45" s="31">
        <f t="shared" si="3"/>
        <v>11</v>
      </c>
      <c r="V45" s="59"/>
      <c r="W45" s="31" t="s">
        <v>1178</v>
      </c>
      <c r="X45" s="31" t="s">
        <v>1179</v>
      </c>
      <c r="Y45" s="31"/>
      <c r="Z45" s="31" t="s">
        <v>141</v>
      </c>
      <c r="AA45" s="31" t="s">
        <v>142</v>
      </c>
      <c r="AB45" s="31">
        <v>256</v>
      </c>
      <c r="AC45" s="43"/>
      <c r="AD45" s="31"/>
      <c r="AE45" s="31"/>
      <c r="AF45" s="87"/>
      <c r="AG45" s="31"/>
      <c r="AH45" s="3"/>
      <c r="AI45" s="3"/>
      <c r="AJ45" s="3"/>
      <c r="AK45" s="3"/>
    </row>
    <row r="46" s="2" customFormat="1" spans="1:37">
      <c r="A46" s="31">
        <f t="shared" si="2"/>
        <v>12</v>
      </c>
      <c r="B46" s="59"/>
      <c r="C46" s="31" t="s">
        <v>1180</v>
      </c>
      <c r="D46" s="31" t="s">
        <v>1181</v>
      </c>
      <c r="E46" s="31"/>
      <c r="F46" s="31" t="s">
        <v>141</v>
      </c>
      <c r="G46" s="31" t="s">
        <v>142</v>
      </c>
      <c r="H46" s="31">
        <v>256</v>
      </c>
      <c r="I46" s="43"/>
      <c r="J46" s="31"/>
      <c r="K46" s="31"/>
      <c r="L46" s="87"/>
      <c r="M46" s="31"/>
      <c r="N46" s="3"/>
      <c r="O46" s="3"/>
      <c r="P46" s="3"/>
      <c r="Q46" s="3"/>
      <c r="R46" s="91"/>
      <c r="S46" s="3"/>
      <c r="T46" s="3"/>
      <c r="U46" s="31">
        <f t="shared" si="3"/>
        <v>12</v>
      </c>
      <c r="V46" s="59"/>
      <c r="W46" s="31" t="s">
        <v>1180</v>
      </c>
      <c r="X46" s="31" t="s">
        <v>1181</v>
      </c>
      <c r="Y46" s="31"/>
      <c r="Z46" s="31" t="s">
        <v>141</v>
      </c>
      <c r="AA46" s="31" t="s">
        <v>142</v>
      </c>
      <c r="AB46" s="31">
        <v>256</v>
      </c>
      <c r="AC46" s="43"/>
      <c r="AD46" s="31"/>
      <c r="AE46" s="31"/>
      <c r="AF46" s="87"/>
      <c r="AG46" s="31"/>
      <c r="AH46" s="3"/>
      <c r="AI46" s="3"/>
      <c r="AJ46" s="3"/>
      <c r="AK46" s="3"/>
    </row>
    <row r="47" s="2" customFormat="1" spans="1:37">
      <c r="A47" s="31">
        <f t="shared" si="2"/>
        <v>13</v>
      </c>
      <c r="B47" s="59"/>
      <c r="C47" s="31" t="s">
        <v>1182</v>
      </c>
      <c r="D47" s="31" t="s">
        <v>1183</v>
      </c>
      <c r="E47" s="31"/>
      <c r="F47" s="31" t="s">
        <v>141</v>
      </c>
      <c r="G47" s="31" t="s">
        <v>142</v>
      </c>
      <c r="H47" s="31">
        <v>256</v>
      </c>
      <c r="I47" s="43"/>
      <c r="J47" s="31"/>
      <c r="K47" s="31"/>
      <c r="L47" s="87"/>
      <c r="M47" s="31"/>
      <c r="N47" s="3"/>
      <c r="O47" s="3"/>
      <c r="P47" s="3"/>
      <c r="Q47" s="3"/>
      <c r="R47" s="91"/>
      <c r="S47" s="3"/>
      <c r="T47" s="3"/>
      <c r="U47" s="31">
        <f t="shared" si="3"/>
        <v>13</v>
      </c>
      <c r="V47" s="59"/>
      <c r="W47" s="31" t="s">
        <v>1182</v>
      </c>
      <c r="X47" s="31" t="s">
        <v>1183</v>
      </c>
      <c r="Y47" s="31"/>
      <c r="Z47" s="31" t="s">
        <v>141</v>
      </c>
      <c r="AA47" s="31" t="s">
        <v>142</v>
      </c>
      <c r="AB47" s="31">
        <v>256</v>
      </c>
      <c r="AC47" s="43"/>
      <c r="AD47" s="31"/>
      <c r="AE47" s="31"/>
      <c r="AF47" s="87"/>
      <c r="AG47" s="31"/>
      <c r="AH47" s="3"/>
      <c r="AI47" s="3"/>
      <c r="AJ47" s="3"/>
      <c r="AK47" s="3"/>
    </row>
    <row r="48" s="2" customFormat="1" spans="1:37">
      <c r="A48" s="31">
        <f t="shared" si="2"/>
        <v>14</v>
      </c>
      <c r="B48" s="59"/>
      <c r="C48" s="31" t="s">
        <v>1184</v>
      </c>
      <c r="D48" s="31" t="s">
        <v>1185</v>
      </c>
      <c r="E48" s="31"/>
      <c r="F48" s="31" t="s">
        <v>141</v>
      </c>
      <c r="G48" s="31" t="s">
        <v>142</v>
      </c>
      <c r="H48" s="31">
        <v>256</v>
      </c>
      <c r="I48" s="43"/>
      <c r="J48" s="31"/>
      <c r="K48" s="31"/>
      <c r="L48" s="87"/>
      <c r="M48" s="31"/>
      <c r="N48" s="3"/>
      <c r="O48" s="3"/>
      <c r="P48" s="3"/>
      <c r="Q48" s="3"/>
      <c r="R48" s="91"/>
      <c r="S48" s="3"/>
      <c r="T48" s="3"/>
      <c r="U48" s="31">
        <f t="shared" si="3"/>
        <v>14</v>
      </c>
      <c r="V48" s="59"/>
      <c r="W48" s="31" t="s">
        <v>1184</v>
      </c>
      <c r="X48" s="31" t="s">
        <v>1185</v>
      </c>
      <c r="Y48" s="31"/>
      <c r="Z48" s="31" t="s">
        <v>141</v>
      </c>
      <c r="AA48" s="31" t="s">
        <v>142</v>
      </c>
      <c r="AB48" s="31">
        <v>256</v>
      </c>
      <c r="AC48" s="43"/>
      <c r="AD48" s="31"/>
      <c r="AE48" s="31"/>
      <c r="AF48" s="87"/>
      <c r="AG48" s="31"/>
      <c r="AH48" s="3"/>
      <c r="AI48" s="3"/>
      <c r="AJ48" s="3"/>
      <c r="AK48" s="3"/>
    </row>
    <row r="49" s="2" customFormat="1" spans="1:37">
      <c r="A49" s="31">
        <f t="shared" si="2"/>
        <v>15</v>
      </c>
      <c r="B49" s="59"/>
      <c r="C49" s="31" t="s">
        <v>1186</v>
      </c>
      <c r="D49" s="31" t="s">
        <v>1187</v>
      </c>
      <c r="E49" s="31"/>
      <c r="F49" s="31" t="s">
        <v>141</v>
      </c>
      <c r="G49" s="31" t="s">
        <v>142</v>
      </c>
      <c r="H49" s="31">
        <v>256</v>
      </c>
      <c r="I49" s="43"/>
      <c r="J49" s="31"/>
      <c r="K49" s="31"/>
      <c r="L49" s="87"/>
      <c r="M49" s="31"/>
      <c r="N49" s="3"/>
      <c r="O49" s="3"/>
      <c r="P49" s="3"/>
      <c r="Q49" s="3"/>
      <c r="R49" s="91"/>
      <c r="S49" s="3"/>
      <c r="T49" s="3"/>
      <c r="U49" s="31">
        <f t="shared" si="3"/>
        <v>15</v>
      </c>
      <c r="V49" s="59"/>
      <c r="W49" s="31" t="s">
        <v>1186</v>
      </c>
      <c r="X49" s="31" t="s">
        <v>1187</v>
      </c>
      <c r="Y49" s="31"/>
      <c r="Z49" s="31" t="s">
        <v>141</v>
      </c>
      <c r="AA49" s="31" t="s">
        <v>142</v>
      </c>
      <c r="AB49" s="31">
        <v>256</v>
      </c>
      <c r="AC49" s="43"/>
      <c r="AD49" s="31"/>
      <c r="AE49" s="31"/>
      <c r="AF49" s="87"/>
      <c r="AG49" s="31"/>
      <c r="AH49" s="3"/>
      <c r="AI49" s="3"/>
      <c r="AJ49" s="3"/>
      <c r="AK49" s="3"/>
    </row>
    <row r="50" s="2" customFormat="1" spans="1:37">
      <c r="A50" s="31">
        <f t="shared" si="2"/>
        <v>16</v>
      </c>
      <c r="B50" s="59"/>
      <c r="C50" s="31" t="s">
        <v>1188</v>
      </c>
      <c r="D50" s="31" t="s">
        <v>1189</v>
      </c>
      <c r="E50" s="31"/>
      <c r="F50" s="31" t="s">
        <v>141</v>
      </c>
      <c r="G50" s="31" t="s">
        <v>142</v>
      </c>
      <c r="H50" s="31">
        <v>256</v>
      </c>
      <c r="I50" s="43"/>
      <c r="J50" s="31"/>
      <c r="K50" s="31"/>
      <c r="L50" s="87"/>
      <c r="M50" s="31"/>
      <c r="N50" s="3"/>
      <c r="O50" s="3"/>
      <c r="P50" s="3"/>
      <c r="Q50" s="3"/>
      <c r="R50" s="91"/>
      <c r="S50" s="3"/>
      <c r="T50" s="3"/>
      <c r="U50" s="31">
        <f t="shared" si="3"/>
        <v>16</v>
      </c>
      <c r="V50" s="59"/>
      <c r="W50" s="31" t="s">
        <v>1188</v>
      </c>
      <c r="X50" s="31" t="s">
        <v>1189</v>
      </c>
      <c r="Y50" s="31"/>
      <c r="Z50" s="31" t="s">
        <v>141</v>
      </c>
      <c r="AA50" s="31" t="s">
        <v>142</v>
      </c>
      <c r="AB50" s="31">
        <v>256</v>
      </c>
      <c r="AC50" s="43"/>
      <c r="AD50" s="31"/>
      <c r="AE50" s="31"/>
      <c r="AF50" s="87"/>
      <c r="AG50" s="31"/>
      <c r="AH50" s="3"/>
      <c r="AI50" s="3"/>
      <c r="AJ50" s="3"/>
      <c r="AK50" s="3"/>
    </row>
    <row r="51" s="2" customFormat="1" spans="1:37">
      <c r="A51" s="31">
        <f t="shared" si="2"/>
        <v>17</v>
      </c>
      <c r="B51" s="59"/>
      <c r="C51" s="31" t="s">
        <v>1190</v>
      </c>
      <c r="D51" s="31" t="s">
        <v>1191</v>
      </c>
      <c r="E51" s="31"/>
      <c r="F51" s="31" t="s">
        <v>141</v>
      </c>
      <c r="G51" s="31" t="s">
        <v>142</v>
      </c>
      <c r="H51" s="31">
        <v>256</v>
      </c>
      <c r="I51" s="43"/>
      <c r="J51" s="31"/>
      <c r="K51" s="31"/>
      <c r="L51" s="87"/>
      <c r="M51" s="31"/>
      <c r="N51" s="3"/>
      <c r="O51" s="3"/>
      <c r="P51" s="3"/>
      <c r="Q51" s="3"/>
      <c r="R51" s="91"/>
      <c r="S51" s="3"/>
      <c r="T51" s="3"/>
      <c r="U51" s="31">
        <f t="shared" si="3"/>
        <v>17</v>
      </c>
      <c r="V51" s="59"/>
      <c r="W51" s="31" t="s">
        <v>1190</v>
      </c>
      <c r="X51" s="31" t="s">
        <v>1191</v>
      </c>
      <c r="Y51" s="31"/>
      <c r="Z51" s="31" t="s">
        <v>141</v>
      </c>
      <c r="AA51" s="31" t="s">
        <v>142</v>
      </c>
      <c r="AB51" s="31">
        <v>256</v>
      </c>
      <c r="AC51" s="43"/>
      <c r="AD51" s="31"/>
      <c r="AE51" s="31"/>
      <c r="AF51" s="87"/>
      <c r="AG51" s="31"/>
      <c r="AH51" s="3"/>
      <c r="AI51" s="3"/>
      <c r="AJ51" s="3"/>
      <c r="AK51" s="3"/>
    </row>
    <row r="52" s="2" customFormat="1" spans="1:37">
      <c r="A52" s="31">
        <f t="shared" si="2"/>
        <v>18</v>
      </c>
      <c r="B52" s="59"/>
      <c r="C52" s="31" t="s">
        <v>1192</v>
      </c>
      <c r="D52" s="31" t="s">
        <v>1193</v>
      </c>
      <c r="E52" s="31"/>
      <c r="F52" s="31" t="s">
        <v>141</v>
      </c>
      <c r="G52" s="31" t="s">
        <v>142</v>
      </c>
      <c r="H52" s="31">
        <v>256</v>
      </c>
      <c r="I52" s="43"/>
      <c r="J52" s="31"/>
      <c r="K52" s="31"/>
      <c r="L52" s="87"/>
      <c r="M52" s="31"/>
      <c r="N52" s="3"/>
      <c r="O52" s="3"/>
      <c r="P52" s="3"/>
      <c r="Q52" s="3"/>
      <c r="R52" s="91"/>
      <c r="S52" s="3"/>
      <c r="T52" s="3"/>
      <c r="U52" s="31">
        <f t="shared" si="3"/>
        <v>18</v>
      </c>
      <c r="V52" s="59"/>
      <c r="W52" s="31" t="s">
        <v>1192</v>
      </c>
      <c r="X52" s="31" t="s">
        <v>1193</v>
      </c>
      <c r="Y52" s="31"/>
      <c r="Z52" s="31" t="s">
        <v>141</v>
      </c>
      <c r="AA52" s="31" t="s">
        <v>142</v>
      </c>
      <c r="AB52" s="31">
        <v>256</v>
      </c>
      <c r="AC52" s="43"/>
      <c r="AD52" s="31"/>
      <c r="AE52" s="31"/>
      <c r="AF52" s="87"/>
      <c r="AG52" s="31"/>
      <c r="AH52" s="3"/>
      <c r="AI52" s="3"/>
      <c r="AJ52" s="3"/>
      <c r="AK52" s="3"/>
    </row>
    <row r="53" s="2" customFormat="1" spans="1:37">
      <c r="A53" s="31">
        <f t="shared" si="2"/>
        <v>19</v>
      </c>
      <c r="B53" s="59"/>
      <c r="C53" s="31" t="s">
        <v>1194</v>
      </c>
      <c r="D53" s="31" t="s">
        <v>1195</v>
      </c>
      <c r="E53" s="31"/>
      <c r="F53" s="31" t="s">
        <v>141</v>
      </c>
      <c r="G53" s="31" t="s">
        <v>142</v>
      </c>
      <c r="H53" s="31">
        <v>256</v>
      </c>
      <c r="I53" s="43"/>
      <c r="J53" s="31"/>
      <c r="K53" s="31"/>
      <c r="L53" s="87"/>
      <c r="M53" s="31"/>
      <c r="N53" s="3"/>
      <c r="O53" s="3"/>
      <c r="P53" s="3"/>
      <c r="Q53" s="3"/>
      <c r="R53" s="91"/>
      <c r="S53" s="3"/>
      <c r="T53" s="3"/>
      <c r="U53" s="31">
        <f t="shared" si="3"/>
        <v>19</v>
      </c>
      <c r="V53" s="59"/>
      <c r="W53" s="31" t="s">
        <v>1194</v>
      </c>
      <c r="X53" s="31" t="s">
        <v>1195</v>
      </c>
      <c r="Y53" s="31"/>
      <c r="Z53" s="31" t="s">
        <v>141</v>
      </c>
      <c r="AA53" s="31" t="s">
        <v>142</v>
      </c>
      <c r="AB53" s="31">
        <v>256</v>
      </c>
      <c r="AC53" s="43"/>
      <c r="AD53" s="31"/>
      <c r="AE53" s="31"/>
      <c r="AF53" s="87"/>
      <c r="AG53" s="31"/>
      <c r="AH53" s="3"/>
      <c r="AI53" s="3"/>
      <c r="AJ53" s="3"/>
      <c r="AK53" s="3"/>
    </row>
    <row r="54" s="2" customFormat="1" spans="1:37">
      <c r="A54" s="31">
        <f t="shared" si="2"/>
        <v>20</v>
      </c>
      <c r="B54" s="59"/>
      <c r="C54" s="31" t="s">
        <v>1196</v>
      </c>
      <c r="D54" s="31" t="s">
        <v>1197</v>
      </c>
      <c r="E54" s="31"/>
      <c r="F54" s="31" t="s">
        <v>141</v>
      </c>
      <c r="G54" s="31" t="s">
        <v>142</v>
      </c>
      <c r="H54" s="31">
        <v>256</v>
      </c>
      <c r="I54" s="43"/>
      <c r="J54" s="31"/>
      <c r="K54" s="31"/>
      <c r="L54" s="87"/>
      <c r="M54" s="31"/>
      <c r="N54" s="3"/>
      <c r="O54" s="3"/>
      <c r="P54" s="3"/>
      <c r="Q54" s="3"/>
      <c r="R54" s="91"/>
      <c r="S54" s="3"/>
      <c r="T54" s="3"/>
      <c r="U54" s="31">
        <f t="shared" si="3"/>
        <v>20</v>
      </c>
      <c r="V54" s="59"/>
      <c r="W54" s="31" t="s">
        <v>1196</v>
      </c>
      <c r="X54" s="31" t="s">
        <v>1197</v>
      </c>
      <c r="Y54" s="31"/>
      <c r="Z54" s="31" t="s">
        <v>141</v>
      </c>
      <c r="AA54" s="31" t="s">
        <v>142</v>
      </c>
      <c r="AB54" s="31">
        <v>256</v>
      </c>
      <c r="AC54" s="43"/>
      <c r="AD54" s="31"/>
      <c r="AE54" s="31"/>
      <c r="AF54" s="87"/>
      <c r="AG54" s="31"/>
      <c r="AH54" s="3"/>
      <c r="AI54" s="3"/>
      <c r="AJ54" s="3"/>
      <c r="AK54" s="3"/>
    </row>
    <row r="55" s="2" customFormat="1" spans="1:37">
      <c r="A55" s="31">
        <f t="shared" si="2"/>
        <v>21</v>
      </c>
      <c r="B55" s="59"/>
      <c r="C55" s="31" t="s">
        <v>1198</v>
      </c>
      <c r="D55" s="31" t="s">
        <v>1199</v>
      </c>
      <c r="E55" s="31"/>
      <c r="F55" s="31" t="s">
        <v>141</v>
      </c>
      <c r="G55" s="31" t="s">
        <v>142</v>
      </c>
      <c r="H55" s="31">
        <v>256</v>
      </c>
      <c r="I55" s="43"/>
      <c r="J55" s="31"/>
      <c r="K55" s="31"/>
      <c r="L55" s="87"/>
      <c r="M55" s="31"/>
      <c r="N55" s="3"/>
      <c r="O55" s="3"/>
      <c r="P55" s="3"/>
      <c r="Q55" s="3"/>
      <c r="R55" s="91"/>
      <c r="S55" s="3"/>
      <c r="T55" s="3"/>
      <c r="U55" s="31">
        <f t="shared" si="3"/>
        <v>21</v>
      </c>
      <c r="V55" s="59"/>
      <c r="W55" s="31" t="s">
        <v>1198</v>
      </c>
      <c r="X55" s="31" t="s">
        <v>1199</v>
      </c>
      <c r="Y55" s="31"/>
      <c r="Z55" s="31" t="s">
        <v>141</v>
      </c>
      <c r="AA55" s="31" t="s">
        <v>142</v>
      </c>
      <c r="AB55" s="31">
        <v>256</v>
      </c>
      <c r="AC55" s="43"/>
      <c r="AD55" s="31"/>
      <c r="AE55" s="31"/>
      <c r="AF55" s="87"/>
      <c r="AG55" s="31"/>
      <c r="AH55" s="3"/>
      <c r="AI55" s="3"/>
      <c r="AJ55" s="3"/>
      <c r="AK55" s="3"/>
    </row>
    <row r="56" s="2" customFormat="1" spans="1:37">
      <c r="A56" s="31">
        <f t="shared" si="2"/>
        <v>22</v>
      </c>
      <c r="B56" s="59"/>
      <c r="C56" s="31" t="s">
        <v>1200</v>
      </c>
      <c r="D56" s="31" t="s">
        <v>1201</v>
      </c>
      <c r="E56" s="31"/>
      <c r="F56" s="31" t="s">
        <v>141</v>
      </c>
      <c r="G56" s="31" t="s">
        <v>142</v>
      </c>
      <c r="H56" s="31">
        <v>256</v>
      </c>
      <c r="I56" s="43"/>
      <c r="J56" s="31"/>
      <c r="K56" s="31"/>
      <c r="L56" s="87"/>
      <c r="M56" s="31"/>
      <c r="N56" s="3"/>
      <c r="O56" s="3"/>
      <c r="P56" s="3"/>
      <c r="Q56" s="3"/>
      <c r="R56" s="91"/>
      <c r="S56" s="3"/>
      <c r="T56" s="3"/>
      <c r="U56" s="31">
        <f t="shared" si="3"/>
        <v>22</v>
      </c>
      <c r="V56" s="59"/>
      <c r="W56" s="31" t="s">
        <v>1200</v>
      </c>
      <c r="X56" s="31" t="s">
        <v>1201</v>
      </c>
      <c r="Y56" s="31"/>
      <c r="Z56" s="31" t="s">
        <v>141</v>
      </c>
      <c r="AA56" s="31" t="s">
        <v>142</v>
      </c>
      <c r="AB56" s="31">
        <v>256</v>
      </c>
      <c r="AC56" s="43"/>
      <c r="AD56" s="31"/>
      <c r="AE56" s="31"/>
      <c r="AF56" s="87"/>
      <c r="AG56" s="31"/>
      <c r="AH56" s="3"/>
      <c r="AI56" s="3"/>
      <c r="AJ56" s="3"/>
      <c r="AK56" s="3"/>
    </row>
    <row r="57" s="2" customFormat="1" spans="1:37">
      <c r="A57" s="31">
        <f t="shared" si="2"/>
        <v>23</v>
      </c>
      <c r="B57" s="59"/>
      <c r="C57" s="31" t="s">
        <v>1202</v>
      </c>
      <c r="D57" s="31" t="s">
        <v>1203</v>
      </c>
      <c r="E57" s="31"/>
      <c r="F57" s="31" t="s">
        <v>141</v>
      </c>
      <c r="G57" s="31" t="s">
        <v>142</v>
      </c>
      <c r="H57" s="31">
        <v>256</v>
      </c>
      <c r="I57" s="43"/>
      <c r="J57" s="31"/>
      <c r="K57" s="31"/>
      <c r="L57" s="87"/>
      <c r="M57" s="31"/>
      <c r="N57" s="3"/>
      <c r="O57" s="3"/>
      <c r="P57" s="3"/>
      <c r="Q57" s="3"/>
      <c r="R57" s="91"/>
      <c r="S57" s="3"/>
      <c r="T57" s="3"/>
      <c r="U57" s="31">
        <f t="shared" si="3"/>
        <v>23</v>
      </c>
      <c r="V57" s="59"/>
      <c r="W57" s="31" t="s">
        <v>1202</v>
      </c>
      <c r="X57" s="31" t="s">
        <v>1203</v>
      </c>
      <c r="Y57" s="31"/>
      <c r="Z57" s="31" t="s">
        <v>141</v>
      </c>
      <c r="AA57" s="31" t="s">
        <v>142</v>
      </c>
      <c r="AB57" s="31">
        <v>256</v>
      </c>
      <c r="AC57" s="43"/>
      <c r="AD57" s="31"/>
      <c r="AE57" s="31"/>
      <c r="AF57" s="87"/>
      <c r="AG57" s="31"/>
      <c r="AH57" s="3"/>
      <c r="AI57" s="3"/>
      <c r="AJ57" s="3"/>
      <c r="AK57" s="3"/>
    </row>
    <row r="58" s="2" customFormat="1" spans="1:37">
      <c r="A58" s="31">
        <f t="shared" si="2"/>
        <v>24</v>
      </c>
      <c r="B58" s="59"/>
      <c r="C58" s="31" t="s">
        <v>1204</v>
      </c>
      <c r="D58" s="31" t="s">
        <v>1205</v>
      </c>
      <c r="E58" s="31"/>
      <c r="F58" s="31" t="s">
        <v>141</v>
      </c>
      <c r="G58" s="31" t="s">
        <v>142</v>
      </c>
      <c r="H58" s="31">
        <v>256</v>
      </c>
      <c r="I58" s="43"/>
      <c r="J58" s="31"/>
      <c r="K58" s="31"/>
      <c r="L58" s="87"/>
      <c r="M58" s="31"/>
      <c r="N58" s="3"/>
      <c r="O58" s="3"/>
      <c r="P58" s="3"/>
      <c r="Q58" s="3"/>
      <c r="R58" s="91"/>
      <c r="S58" s="3"/>
      <c r="T58" s="3"/>
      <c r="U58" s="31">
        <f t="shared" si="3"/>
        <v>24</v>
      </c>
      <c r="V58" s="59"/>
      <c r="W58" s="31" t="s">
        <v>1204</v>
      </c>
      <c r="X58" s="31" t="s">
        <v>1205</v>
      </c>
      <c r="Y58" s="31"/>
      <c r="Z58" s="31" t="s">
        <v>141</v>
      </c>
      <c r="AA58" s="31" t="s">
        <v>142</v>
      </c>
      <c r="AB58" s="31">
        <v>256</v>
      </c>
      <c r="AC58" s="43"/>
      <c r="AD58" s="31"/>
      <c r="AE58" s="31"/>
      <c r="AF58" s="87"/>
      <c r="AG58" s="31"/>
      <c r="AH58" s="3"/>
      <c r="AI58" s="3"/>
      <c r="AJ58" s="3"/>
      <c r="AK58" s="3"/>
    </row>
    <row r="59" s="2" customFormat="1" spans="1:37">
      <c r="A59" s="31">
        <f t="shared" si="2"/>
        <v>25</v>
      </c>
      <c r="B59" s="59"/>
      <c r="C59" s="31" t="s">
        <v>1206</v>
      </c>
      <c r="D59" s="31" t="s">
        <v>1207</v>
      </c>
      <c r="E59" s="31"/>
      <c r="F59" s="31" t="s">
        <v>141</v>
      </c>
      <c r="G59" s="31" t="s">
        <v>142</v>
      </c>
      <c r="H59" s="31">
        <v>256</v>
      </c>
      <c r="I59" s="43"/>
      <c r="J59" s="31"/>
      <c r="K59" s="31"/>
      <c r="L59" s="87"/>
      <c r="M59" s="31"/>
      <c r="N59" s="3"/>
      <c r="O59" s="3"/>
      <c r="P59" s="3"/>
      <c r="Q59" s="3"/>
      <c r="R59" s="91"/>
      <c r="S59" s="3"/>
      <c r="T59" s="3"/>
      <c r="U59" s="31">
        <f t="shared" si="3"/>
        <v>25</v>
      </c>
      <c r="V59" s="59"/>
      <c r="W59" s="31" t="s">
        <v>1206</v>
      </c>
      <c r="X59" s="31" t="s">
        <v>1207</v>
      </c>
      <c r="Y59" s="31"/>
      <c r="Z59" s="31" t="s">
        <v>141</v>
      </c>
      <c r="AA59" s="31" t="s">
        <v>142</v>
      </c>
      <c r="AB59" s="31">
        <v>256</v>
      </c>
      <c r="AC59" s="43"/>
      <c r="AD59" s="31"/>
      <c r="AE59" s="31"/>
      <c r="AF59" s="87"/>
      <c r="AG59" s="31"/>
      <c r="AH59" s="3"/>
      <c r="AI59" s="3"/>
      <c r="AJ59" s="3"/>
      <c r="AK59" s="3"/>
    </row>
    <row r="60" s="2" customFormat="1" spans="1:37">
      <c r="A60" s="31">
        <f t="shared" si="2"/>
        <v>26</v>
      </c>
      <c r="B60" s="59"/>
      <c r="C60" s="31" t="s">
        <v>1208</v>
      </c>
      <c r="D60" s="31" t="s">
        <v>1209</v>
      </c>
      <c r="E60" s="31"/>
      <c r="F60" s="31" t="s">
        <v>141</v>
      </c>
      <c r="G60" s="31" t="s">
        <v>142</v>
      </c>
      <c r="H60" s="31">
        <v>256</v>
      </c>
      <c r="I60" s="43"/>
      <c r="J60" s="31"/>
      <c r="K60" s="31"/>
      <c r="L60" s="87"/>
      <c r="M60" s="31"/>
      <c r="N60" s="3"/>
      <c r="O60" s="3"/>
      <c r="P60" s="3"/>
      <c r="Q60" s="3"/>
      <c r="R60" s="91"/>
      <c r="S60" s="3"/>
      <c r="T60" s="3"/>
      <c r="U60" s="31">
        <f t="shared" si="3"/>
        <v>26</v>
      </c>
      <c r="V60" s="59"/>
      <c r="W60" s="31" t="s">
        <v>1208</v>
      </c>
      <c r="X60" s="31" t="s">
        <v>1209</v>
      </c>
      <c r="Y60" s="31"/>
      <c r="Z60" s="31" t="s">
        <v>141</v>
      </c>
      <c r="AA60" s="31" t="s">
        <v>142</v>
      </c>
      <c r="AB60" s="31">
        <v>256</v>
      </c>
      <c r="AC60" s="43"/>
      <c r="AD60" s="31"/>
      <c r="AE60" s="31"/>
      <c r="AF60" s="87"/>
      <c r="AG60" s="31"/>
      <c r="AH60" s="3"/>
      <c r="AI60" s="3"/>
      <c r="AJ60" s="3"/>
      <c r="AK60" s="3"/>
    </row>
    <row r="61" s="2" customFormat="1" spans="1:37">
      <c r="A61" s="31">
        <f t="shared" si="2"/>
        <v>27</v>
      </c>
      <c r="B61" s="59"/>
      <c r="C61" s="31" t="s">
        <v>1210</v>
      </c>
      <c r="D61" s="31" t="s">
        <v>1211</v>
      </c>
      <c r="E61" s="31"/>
      <c r="F61" s="31" t="s">
        <v>141</v>
      </c>
      <c r="G61" s="31" t="s">
        <v>142</v>
      </c>
      <c r="H61" s="31">
        <v>256</v>
      </c>
      <c r="I61" s="43"/>
      <c r="J61" s="31"/>
      <c r="K61" s="31"/>
      <c r="L61" s="87"/>
      <c r="M61" s="31"/>
      <c r="N61" s="3"/>
      <c r="O61" s="3"/>
      <c r="P61" s="3"/>
      <c r="Q61" s="3"/>
      <c r="R61" s="91"/>
      <c r="S61" s="3"/>
      <c r="T61" s="3"/>
      <c r="U61" s="31">
        <f t="shared" si="3"/>
        <v>27</v>
      </c>
      <c r="V61" s="59"/>
      <c r="W61" s="31" t="s">
        <v>1210</v>
      </c>
      <c r="X61" s="31" t="s">
        <v>1211</v>
      </c>
      <c r="Y61" s="31"/>
      <c r="Z61" s="31" t="s">
        <v>141</v>
      </c>
      <c r="AA61" s="31" t="s">
        <v>142</v>
      </c>
      <c r="AB61" s="31">
        <v>256</v>
      </c>
      <c r="AC61" s="43"/>
      <c r="AD61" s="31"/>
      <c r="AE61" s="31"/>
      <c r="AF61" s="87"/>
      <c r="AG61" s="31"/>
      <c r="AH61" s="3"/>
      <c r="AI61" s="3"/>
      <c r="AJ61" s="3"/>
      <c r="AK61" s="3"/>
    </row>
    <row r="62" s="2" customFormat="1" spans="1:37">
      <c r="A62" s="31">
        <f t="shared" si="2"/>
        <v>28</v>
      </c>
      <c r="B62" s="59"/>
      <c r="C62" s="31" t="s">
        <v>1212</v>
      </c>
      <c r="D62" s="31" t="s">
        <v>1213</v>
      </c>
      <c r="E62" s="31"/>
      <c r="F62" s="31" t="s">
        <v>141</v>
      </c>
      <c r="G62" s="31" t="s">
        <v>142</v>
      </c>
      <c r="H62" s="31">
        <v>256</v>
      </c>
      <c r="I62" s="43"/>
      <c r="J62" s="31"/>
      <c r="K62" s="31"/>
      <c r="L62" s="87"/>
      <c r="M62" s="31"/>
      <c r="N62" s="3"/>
      <c r="O62" s="3"/>
      <c r="P62" s="3"/>
      <c r="Q62" s="3"/>
      <c r="R62" s="91"/>
      <c r="S62" s="3"/>
      <c r="T62" s="3"/>
      <c r="U62" s="31">
        <f t="shared" si="3"/>
        <v>28</v>
      </c>
      <c r="V62" s="59"/>
      <c r="W62" s="31" t="s">
        <v>1212</v>
      </c>
      <c r="X62" s="31" t="s">
        <v>1213</v>
      </c>
      <c r="Y62" s="31"/>
      <c r="Z62" s="31" t="s">
        <v>141</v>
      </c>
      <c r="AA62" s="31" t="s">
        <v>142</v>
      </c>
      <c r="AB62" s="31">
        <v>256</v>
      </c>
      <c r="AC62" s="43"/>
      <c r="AD62" s="31"/>
      <c r="AE62" s="31"/>
      <c r="AF62" s="87"/>
      <c r="AG62" s="31"/>
      <c r="AH62" s="3"/>
      <c r="AI62" s="3"/>
      <c r="AJ62" s="3"/>
      <c r="AK62" s="3"/>
    </row>
    <row r="63" s="2" customFormat="1" spans="1:37">
      <c r="A63" s="31">
        <f t="shared" si="2"/>
        <v>29</v>
      </c>
      <c r="B63" s="59"/>
      <c r="C63" s="31" t="s">
        <v>1214</v>
      </c>
      <c r="D63" s="31" t="s">
        <v>1215</v>
      </c>
      <c r="E63" s="31"/>
      <c r="F63" s="31" t="s">
        <v>141</v>
      </c>
      <c r="G63" s="31" t="s">
        <v>142</v>
      </c>
      <c r="H63" s="31">
        <v>256</v>
      </c>
      <c r="I63" s="43"/>
      <c r="J63" s="31"/>
      <c r="K63" s="31"/>
      <c r="L63" s="87"/>
      <c r="M63" s="31"/>
      <c r="N63" s="3"/>
      <c r="O63" s="3"/>
      <c r="P63" s="3"/>
      <c r="Q63" s="3"/>
      <c r="R63" s="91"/>
      <c r="S63" s="3"/>
      <c r="T63" s="3"/>
      <c r="U63" s="31">
        <f t="shared" si="3"/>
        <v>29</v>
      </c>
      <c r="V63" s="59"/>
      <c r="W63" s="31" t="s">
        <v>1214</v>
      </c>
      <c r="X63" s="31" t="s">
        <v>1215</v>
      </c>
      <c r="Y63" s="31"/>
      <c r="Z63" s="31" t="s">
        <v>141</v>
      </c>
      <c r="AA63" s="31" t="s">
        <v>142</v>
      </c>
      <c r="AB63" s="31">
        <v>256</v>
      </c>
      <c r="AC63" s="43"/>
      <c r="AD63" s="31"/>
      <c r="AE63" s="31"/>
      <c r="AF63" s="87"/>
      <c r="AG63" s="31"/>
      <c r="AH63" s="3"/>
      <c r="AI63" s="3"/>
      <c r="AJ63" s="3"/>
      <c r="AK63" s="3"/>
    </row>
    <row r="64" s="2" customFormat="1" spans="1:37">
      <c r="A64" s="31">
        <f t="shared" si="2"/>
        <v>30</v>
      </c>
      <c r="B64" s="59"/>
      <c r="C64" s="31" t="s">
        <v>1216</v>
      </c>
      <c r="D64" s="31" t="s">
        <v>1217</v>
      </c>
      <c r="E64" s="31"/>
      <c r="F64" s="31" t="s">
        <v>141</v>
      </c>
      <c r="G64" s="31" t="s">
        <v>142</v>
      </c>
      <c r="H64" s="31">
        <v>256</v>
      </c>
      <c r="I64" s="43"/>
      <c r="J64" s="31"/>
      <c r="K64" s="31"/>
      <c r="L64" s="87"/>
      <c r="M64" s="31"/>
      <c r="N64" s="3"/>
      <c r="O64" s="3"/>
      <c r="P64" s="3"/>
      <c r="Q64" s="3"/>
      <c r="R64" s="91"/>
      <c r="S64" s="3"/>
      <c r="T64" s="3"/>
      <c r="U64" s="31">
        <f t="shared" si="3"/>
        <v>30</v>
      </c>
      <c r="V64" s="59"/>
      <c r="W64" s="31" t="s">
        <v>1216</v>
      </c>
      <c r="X64" s="31" t="s">
        <v>1217</v>
      </c>
      <c r="Y64" s="31"/>
      <c r="Z64" s="31" t="s">
        <v>141</v>
      </c>
      <c r="AA64" s="31" t="s">
        <v>142</v>
      </c>
      <c r="AB64" s="31">
        <v>256</v>
      </c>
      <c r="AC64" s="43"/>
      <c r="AD64" s="31"/>
      <c r="AE64" s="31"/>
      <c r="AF64" s="87"/>
      <c r="AG64" s="31"/>
      <c r="AH64" s="3"/>
      <c r="AI64" s="3"/>
      <c r="AJ64" s="3"/>
      <c r="AK64" s="3"/>
    </row>
    <row r="65" s="2" customFormat="1" spans="1:37">
      <c r="A65" s="31">
        <f t="shared" si="2"/>
        <v>31</v>
      </c>
      <c r="B65" s="59"/>
      <c r="C65" s="31" t="s">
        <v>1218</v>
      </c>
      <c r="D65" s="31" t="s">
        <v>1219</v>
      </c>
      <c r="E65" s="31"/>
      <c r="F65" s="31" t="s">
        <v>141</v>
      </c>
      <c r="G65" s="31" t="s">
        <v>142</v>
      </c>
      <c r="H65" s="31">
        <v>256</v>
      </c>
      <c r="I65" s="43"/>
      <c r="J65" s="31"/>
      <c r="K65" s="31"/>
      <c r="L65" s="87"/>
      <c r="M65" s="31"/>
      <c r="N65" s="3"/>
      <c r="O65" s="3"/>
      <c r="P65" s="3"/>
      <c r="Q65" s="3"/>
      <c r="R65" s="91"/>
      <c r="S65" s="3"/>
      <c r="T65" s="3"/>
      <c r="U65" s="31">
        <f t="shared" si="3"/>
        <v>31</v>
      </c>
      <c r="V65" s="59"/>
      <c r="W65" s="31" t="s">
        <v>1218</v>
      </c>
      <c r="X65" s="31" t="s">
        <v>1219</v>
      </c>
      <c r="Y65" s="31"/>
      <c r="Z65" s="31" t="s">
        <v>141</v>
      </c>
      <c r="AA65" s="31" t="s">
        <v>142</v>
      </c>
      <c r="AB65" s="31">
        <v>256</v>
      </c>
      <c r="AC65" s="43"/>
      <c r="AD65" s="31"/>
      <c r="AE65" s="31"/>
      <c r="AF65" s="87"/>
      <c r="AG65" s="31"/>
      <c r="AH65" s="3"/>
      <c r="AI65" s="3"/>
      <c r="AJ65" s="3"/>
      <c r="AK65" s="3"/>
    </row>
    <row r="66" s="2" customFormat="1" spans="1:37">
      <c r="A66" s="31">
        <f t="shared" si="2"/>
        <v>32</v>
      </c>
      <c r="B66" s="59"/>
      <c r="C66" s="31" t="s">
        <v>1220</v>
      </c>
      <c r="D66" s="31" t="s">
        <v>1221</v>
      </c>
      <c r="E66" s="31"/>
      <c r="F66" s="31" t="s">
        <v>141</v>
      </c>
      <c r="G66" s="31" t="s">
        <v>142</v>
      </c>
      <c r="H66" s="31">
        <v>256</v>
      </c>
      <c r="I66" s="43"/>
      <c r="J66" s="31"/>
      <c r="K66" s="31"/>
      <c r="L66" s="87"/>
      <c r="M66" s="31"/>
      <c r="N66" s="3"/>
      <c r="O66" s="3"/>
      <c r="P66" s="3"/>
      <c r="Q66" s="3"/>
      <c r="R66" s="91"/>
      <c r="S66" s="3"/>
      <c r="T66" s="3"/>
      <c r="U66" s="31">
        <f t="shared" si="3"/>
        <v>32</v>
      </c>
      <c r="V66" s="59"/>
      <c r="W66" s="31" t="s">
        <v>1220</v>
      </c>
      <c r="X66" s="31" t="s">
        <v>1221</v>
      </c>
      <c r="Y66" s="31"/>
      <c r="Z66" s="31" t="s">
        <v>141</v>
      </c>
      <c r="AA66" s="31" t="s">
        <v>142</v>
      </c>
      <c r="AB66" s="31">
        <v>256</v>
      </c>
      <c r="AC66" s="43"/>
      <c r="AD66" s="31"/>
      <c r="AE66" s="31"/>
      <c r="AF66" s="87"/>
      <c r="AG66" s="31"/>
      <c r="AH66" s="3"/>
      <c r="AI66" s="3"/>
      <c r="AJ66" s="3"/>
      <c r="AK66" s="3"/>
    </row>
    <row r="67" s="2" customFormat="1" spans="1:37">
      <c r="A67" s="31">
        <f t="shared" si="2"/>
        <v>33</v>
      </c>
      <c r="B67" s="59"/>
      <c r="C67" s="31" t="s">
        <v>1222</v>
      </c>
      <c r="D67" s="31" t="s">
        <v>1223</v>
      </c>
      <c r="E67" s="31"/>
      <c r="F67" s="31" t="s">
        <v>141</v>
      </c>
      <c r="G67" s="31" t="s">
        <v>142</v>
      </c>
      <c r="H67" s="31">
        <v>256</v>
      </c>
      <c r="I67" s="43"/>
      <c r="J67" s="31"/>
      <c r="K67" s="31"/>
      <c r="L67" s="87"/>
      <c r="M67" s="31"/>
      <c r="N67" s="3"/>
      <c r="O67" s="3"/>
      <c r="P67" s="3"/>
      <c r="Q67" s="3"/>
      <c r="R67" s="91"/>
      <c r="S67" s="3"/>
      <c r="T67" s="3"/>
      <c r="U67" s="31">
        <f t="shared" si="3"/>
        <v>33</v>
      </c>
      <c r="V67" s="59"/>
      <c r="W67" s="31" t="s">
        <v>1222</v>
      </c>
      <c r="X67" s="31" t="s">
        <v>1223</v>
      </c>
      <c r="Y67" s="31"/>
      <c r="Z67" s="31" t="s">
        <v>141</v>
      </c>
      <c r="AA67" s="31" t="s">
        <v>142</v>
      </c>
      <c r="AB67" s="31">
        <v>256</v>
      </c>
      <c r="AC67" s="43"/>
      <c r="AD67" s="31"/>
      <c r="AE67" s="31"/>
      <c r="AF67" s="87"/>
      <c r="AG67" s="31"/>
      <c r="AH67" s="3"/>
      <c r="AI67" s="3"/>
      <c r="AJ67" s="3"/>
      <c r="AK67" s="3"/>
    </row>
    <row r="68" s="2" customFormat="1" spans="1:37">
      <c r="A68" s="31">
        <f t="shared" si="2"/>
        <v>34</v>
      </c>
      <c r="B68" s="59"/>
      <c r="C68" s="31" t="s">
        <v>1224</v>
      </c>
      <c r="D68" s="31" t="s">
        <v>1225</v>
      </c>
      <c r="E68" s="31"/>
      <c r="F68" s="31" t="s">
        <v>141</v>
      </c>
      <c r="G68" s="31" t="s">
        <v>142</v>
      </c>
      <c r="H68" s="31">
        <v>256</v>
      </c>
      <c r="I68" s="43"/>
      <c r="J68" s="31"/>
      <c r="K68" s="31"/>
      <c r="L68" s="87"/>
      <c r="M68" s="31"/>
      <c r="N68" s="3"/>
      <c r="O68" s="3"/>
      <c r="P68" s="3"/>
      <c r="Q68" s="3"/>
      <c r="R68" s="91"/>
      <c r="S68" s="3"/>
      <c r="T68" s="3"/>
      <c r="U68" s="31">
        <f t="shared" si="3"/>
        <v>34</v>
      </c>
      <c r="V68" s="59"/>
      <c r="W68" s="31" t="s">
        <v>1224</v>
      </c>
      <c r="X68" s="31" t="s">
        <v>1225</v>
      </c>
      <c r="Y68" s="31"/>
      <c r="Z68" s="31" t="s">
        <v>141</v>
      </c>
      <c r="AA68" s="31" t="s">
        <v>142</v>
      </c>
      <c r="AB68" s="31">
        <v>256</v>
      </c>
      <c r="AC68" s="43"/>
      <c r="AD68" s="31"/>
      <c r="AE68" s="31"/>
      <c r="AF68" s="87"/>
      <c r="AG68" s="31"/>
      <c r="AH68" s="3"/>
      <c r="AI68" s="3"/>
      <c r="AJ68" s="3"/>
      <c r="AK68" s="3"/>
    </row>
    <row r="69" s="2" customFormat="1" spans="1:37">
      <c r="A69" s="31">
        <f t="shared" si="2"/>
        <v>35</v>
      </c>
      <c r="B69" s="59"/>
      <c r="C69" s="31" t="s">
        <v>1226</v>
      </c>
      <c r="D69" s="31" t="s">
        <v>1227</v>
      </c>
      <c r="E69" s="31"/>
      <c r="F69" s="31" t="s">
        <v>141</v>
      </c>
      <c r="G69" s="31" t="s">
        <v>142</v>
      </c>
      <c r="H69" s="31">
        <v>256</v>
      </c>
      <c r="I69" s="43"/>
      <c r="J69" s="31"/>
      <c r="K69" s="31"/>
      <c r="L69" s="87"/>
      <c r="M69" s="31"/>
      <c r="N69" s="3"/>
      <c r="O69" s="3"/>
      <c r="P69" s="3"/>
      <c r="Q69" s="3"/>
      <c r="R69" s="91"/>
      <c r="S69" s="3"/>
      <c r="T69" s="3"/>
      <c r="U69" s="31">
        <f t="shared" si="3"/>
        <v>35</v>
      </c>
      <c r="V69" s="59"/>
      <c r="W69" s="31" t="s">
        <v>1226</v>
      </c>
      <c r="X69" s="31" t="s">
        <v>1227</v>
      </c>
      <c r="Y69" s="31"/>
      <c r="Z69" s="31" t="s">
        <v>141</v>
      </c>
      <c r="AA69" s="31" t="s">
        <v>142</v>
      </c>
      <c r="AB69" s="31">
        <v>256</v>
      </c>
      <c r="AC69" s="43"/>
      <c r="AD69" s="31"/>
      <c r="AE69" s="31"/>
      <c r="AF69" s="87"/>
      <c r="AG69" s="31"/>
      <c r="AH69" s="3"/>
      <c r="AI69" s="3"/>
      <c r="AJ69" s="3"/>
      <c r="AK69" s="3"/>
    </row>
    <row r="70" s="2" customFormat="1" ht="22.5" spans="1:37">
      <c r="A70" s="31">
        <f t="shared" si="2"/>
        <v>36</v>
      </c>
      <c r="B70" s="59"/>
      <c r="C70" s="31" t="s">
        <v>1228</v>
      </c>
      <c r="D70" s="31" t="s">
        <v>1229</v>
      </c>
      <c r="E70" s="31"/>
      <c r="F70" s="31" t="s">
        <v>1027</v>
      </c>
      <c r="G70" s="31" t="s">
        <v>517</v>
      </c>
      <c r="H70" s="31" t="s">
        <v>8</v>
      </c>
      <c r="I70" s="43"/>
      <c r="J70" s="31"/>
      <c r="K70" s="31"/>
      <c r="L70" s="87"/>
      <c r="M70" s="31"/>
      <c r="N70" s="3"/>
      <c r="O70" s="3"/>
      <c r="P70" s="3"/>
      <c r="Q70" s="3"/>
      <c r="R70" s="91"/>
      <c r="S70" s="3"/>
      <c r="T70" s="3"/>
      <c r="U70" s="31">
        <f t="shared" si="3"/>
        <v>36</v>
      </c>
      <c r="V70" s="59"/>
      <c r="W70" s="31" t="s">
        <v>1228</v>
      </c>
      <c r="X70" s="31" t="s">
        <v>1229</v>
      </c>
      <c r="Y70" s="31"/>
      <c r="Z70" s="31" t="s">
        <v>1027</v>
      </c>
      <c r="AA70" s="31" t="s">
        <v>517</v>
      </c>
      <c r="AB70" s="31" t="s">
        <v>8</v>
      </c>
      <c r="AC70" s="43"/>
      <c r="AD70" s="31"/>
      <c r="AE70" s="31"/>
      <c r="AF70" s="87"/>
      <c r="AG70" s="31"/>
      <c r="AH70" s="3"/>
      <c r="AI70" s="3"/>
      <c r="AJ70" s="3"/>
      <c r="AK70" s="3"/>
    </row>
    <row r="71" s="2" customFormat="1" ht="22.5" spans="1:37">
      <c r="A71" s="31">
        <f t="shared" si="2"/>
        <v>37</v>
      </c>
      <c r="B71" s="59"/>
      <c r="C71" s="31" t="s">
        <v>1230</v>
      </c>
      <c r="D71" s="31" t="s">
        <v>1231</v>
      </c>
      <c r="E71" s="31"/>
      <c r="F71" s="31" t="s">
        <v>1027</v>
      </c>
      <c r="G71" s="31" t="s">
        <v>517</v>
      </c>
      <c r="H71" s="31" t="s">
        <v>8</v>
      </c>
      <c r="I71" s="43"/>
      <c r="J71" s="31"/>
      <c r="K71" s="31"/>
      <c r="L71" s="87"/>
      <c r="M71" s="31"/>
      <c r="N71" s="3"/>
      <c r="O71" s="3"/>
      <c r="P71" s="3"/>
      <c r="Q71" s="3"/>
      <c r="R71" s="91"/>
      <c r="S71" s="3"/>
      <c r="T71" s="3"/>
      <c r="U71" s="31">
        <f t="shared" si="3"/>
        <v>37</v>
      </c>
      <c r="V71" s="59"/>
      <c r="W71" s="31" t="s">
        <v>1230</v>
      </c>
      <c r="X71" s="31" t="s">
        <v>1231</v>
      </c>
      <c r="Y71" s="31"/>
      <c r="Z71" s="31" t="s">
        <v>1027</v>
      </c>
      <c r="AA71" s="31" t="s">
        <v>517</v>
      </c>
      <c r="AB71" s="31" t="s">
        <v>8</v>
      </c>
      <c r="AC71" s="43"/>
      <c r="AD71" s="31"/>
      <c r="AE71" s="31"/>
      <c r="AF71" s="87"/>
      <c r="AG71" s="31"/>
      <c r="AH71" s="3"/>
      <c r="AI71" s="3"/>
      <c r="AJ71" s="3"/>
      <c r="AK71" s="3"/>
    </row>
    <row r="72" s="2" customFormat="1" ht="22.5" spans="1:37">
      <c r="A72" s="31">
        <f t="shared" si="2"/>
        <v>38</v>
      </c>
      <c r="B72" s="59"/>
      <c r="C72" s="31" t="s">
        <v>1232</v>
      </c>
      <c r="D72" s="31" t="s">
        <v>1233</v>
      </c>
      <c r="E72" s="31"/>
      <c r="F72" s="31" t="s">
        <v>1027</v>
      </c>
      <c r="G72" s="31" t="s">
        <v>517</v>
      </c>
      <c r="H72" s="31" t="s">
        <v>8</v>
      </c>
      <c r="I72" s="43"/>
      <c r="J72" s="31"/>
      <c r="K72" s="31"/>
      <c r="L72" s="87"/>
      <c r="M72" s="31"/>
      <c r="N72" s="3"/>
      <c r="O72" s="3"/>
      <c r="P72" s="3"/>
      <c r="Q72" s="3"/>
      <c r="R72" s="91"/>
      <c r="S72" s="3"/>
      <c r="T72" s="3"/>
      <c r="U72" s="31">
        <f t="shared" si="3"/>
        <v>38</v>
      </c>
      <c r="V72" s="59"/>
      <c r="W72" s="31" t="s">
        <v>1232</v>
      </c>
      <c r="X72" s="31" t="s">
        <v>1233</v>
      </c>
      <c r="Y72" s="31"/>
      <c r="Z72" s="31" t="s">
        <v>1027</v>
      </c>
      <c r="AA72" s="31" t="s">
        <v>517</v>
      </c>
      <c r="AB72" s="31" t="s">
        <v>8</v>
      </c>
      <c r="AC72" s="43"/>
      <c r="AD72" s="31"/>
      <c r="AE72" s="31"/>
      <c r="AF72" s="87"/>
      <c r="AG72" s="31"/>
      <c r="AH72" s="3"/>
      <c r="AI72" s="3"/>
      <c r="AJ72" s="3"/>
      <c r="AK72" s="3"/>
    </row>
    <row r="73" s="2" customFormat="1" ht="22.5" spans="1:37">
      <c r="A73" s="31">
        <f t="shared" si="2"/>
        <v>39</v>
      </c>
      <c r="B73" s="59"/>
      <c r="C73" s="31" t="s">
        <v>1234</v>
      </c>
      <c r="D73" s="31" t="s">
        <v>1235</v>
      </c>
      <c r="E73" s="31"/>
      <c r="F73" s="31" t="s">
        <v>1027</v>
      </c>
      <c r="G73" s="31" t="s">
        <v>517</v>
      </c>
      <c r="H73" s="31" t="s">
        <v>8</v>
      </c>
      <c r="I73" s="43"/>
      <c r="J73" s="31"/>
      <c r="K73" s="31"/>
      <c r="L73" s="87"/>
      <c r="M73" s="31"/>
      <c r="N73" s="3"/>
      <c r="O73" s="3"/>
      <c r="P73" s="3"/>
      <c r="Q73" s="3"/>
      <c r="R73" s="91"/>
      <c r="S73" s="3"/>
      <c r="T73" s="3"/>
      <c r="U73" s="31">
        <f t="shared" si="3"/>
        <v>39</v>
      </c>
      <c r="V73" s="59"/>
      <c r="W73" s="31" t="s">
        <v>1234</v>
      </c>
      <c r="X73" s="31" t="s">
        <v>1235</v>
      </c>
      <c r="Y73" s="31"/>
      <c r="Z73" s="31" t="s">
        <v>1027</v>
      </c>
      <c r="AA73" s="31" t="s">
        <v>517</v>
      </c>
      <c r="AB73" s="31" t="s">
        <v>8</v>
      </c>
      <c r="AC73" s="43"/>
      <c r="AD73" s="31"/>
      <c r="AE73" s="31"/>
      <c r="AF73" s="87"/>
      <c r="AG73" s="31"/>
      <c r="AH73" s="3"/>
      <c r="AI73" s="3"/>
      <c r="AJ73" s="3"/>
      <c r="AK73" s="3"/>
    </row>
    <row r="74" s="2" customFormat="1" ht="22.5" spans="1:37">
      <c r="A74" s="31">
        <f t="shared" si="2"/>
        <v>40</v>
      </c>
      <c r="B74" s="59"/>
      <c r="C74" s="31" t="s">
        <v>1236</v>
      </c>
      <c r="D74" s="31" t="s">
        <v>1237</v>
      </c>
      <c r="E74" s="31"/>
      <c r="F74" s="31" t="s">
        <v>1027</v>
      </c>
      <c r="G74" s="31" t="s">
        <v>517</v>
      </c>
      <c r="H74" s="31" t="s">
        <v>8</v>
      </c>
      <c r="I74" s="43"/>
      <c r="J74" s="31"/>
      <c r="K74" s="31"/>
      <c r="L74" s="87"/>
      <c r="M74" s="31"/>
      <c r="N74" s="3"/>
      <c r="O74" s="3"/>
      <c r="P74" s="3"/>
      <c r="Q74" s="3"/>
      <c r="R74" s="91"/>
      <c r="S74" s="3"/>
      <c r="T74" s="3"/>
      <c r="U74" s="31">
        <f t="shared" si="3"/>
        <v>40</v>
      </c>
      <c r="V74" s="59"/>
      <c r="W74" s="31" t="s">
        <v>1236</v>
      </c>
      <c r="X74" s="31" t="s">
        <v>1237</v>
      </c>
      <c r="Y74" s="31"/>
      <c r="Z74" s="31" t="s">
        <v>1027</v>
      </c>
      <c r="AA74" s="31" t="s">
        <v>517</v>
      </c>
      <c r="AB74" s="31" t="s">
        <v>8</v>
      </c>
      <c r="AC74" s="43"/>
      <c r="AD74" s="31"/>
      <c r="AE74" s="31"/>
      <c r="AF74" s="87"/>
      <c r="AG74" s="31"/>
      <c r="AH74" s="3"/>
      <c r="AI74" s="3"/>
      <c r="AJ74" s="3"/>
      <c r="AK74" s="3"/>
    </row>
    <row r="75" s="2" customFormat="1" ht="22.5" spans="1:37">
      <c r="A75" s="31">
        <f t="shared" si="2"/>
        <v>41</v>
      </c>
      <c r="B75" s="59"/>
      <c r="C75" s="31" t="s">
        <v>1238</v>
      </c>
      <c r="D75" s="31" t="s">
        <v>1239</v>
      </c>
      <c r="E75" s="31"/>
      <c r="F75" s="31" t="s">
        <v>1027</v>
      </c>
      <c r="G75" s="31" t="s">
        <v>517</v>
      </c>
      <c r="H75" s="31" t="s">
        <v>8</v>
      </c>
      <c r="I75" s="43"/>
      <c r="J75" s="31"/>
      <c r="K75" s="31"/>
      <c r="L75" s="87"/>
      <c r="M75" s="31"/>
      <c r="N75" s="3"/>
      <c r="O75" s="3"/>
      <c r="P75" s="3"/>
      <c r="Q75" s="3"/>
      <c r="R75" s="91"/>
      <c r="S75" s="3"/>
      <c r="T75" s="3"/>
      <c r="U75" s="31">
        <f t="shared" si="3"/>
        <v>41</v>
      </c>
      <c r="V75" s="59"/>
      <c r="W75" s="31" t="s">
        <v>1238</v>
      </c>
      <c r="X75" s="31" t="s">
        <v>1239</v>
      </c>
      <c r="Y75" s="31"/>
      <c r="Z75" s="31" t="s">
        <v>1027</v>
      </c>
      <c r="AA75" s="31" t="s">
        <v>517</v>
      </c>
      <c r="AB75" s="31" t="s">
        <v>8</v>
      </c>
      <c r="AC75" s="43"/>
      <c r="AD75" s="31"/>
      <c r="AE75" s="31"/>
      <c r="AF75" s="87"/>
      <c r="AG75" s="31"/>
      <c r="AH75" s="3"/>
      <c r="AI75" s="3"/>
      <c r="AJ75" s="3"/>
      <c r="AK75" s="3"/>
    </row>
    <row r="76" s="2" customFormat="1" ht="22.5" spans="1:37">
      <c r="A76" s="31">
        <f t="shared" si="2"/>
        <v>42</v>
      </c>
      <c r="B76" s="59"/>
      <c r="C76" s="31" t="s">
        <v>1240</v>
      </c>
      <c r="D76" s="31" t="s">
        <v>1241</v>
      </c>
      <c r="E76" s="31"/>
      <c r="F76" s="31" t="s">
        <v>1027</v>
      </c>
      <c r="G76" s="31" t="s">
        <v>517</v>
      </c>
      <c r="H76" s="31" t="s">
        <v>8</v>
      </c>
      <c r="I76" s="43"/>
      <c r="J76" s="31"/>
      <c r="K76" s="31"/>
      <c r="L76" s="87"/>
      <c r="M76" s="31"/>
      <c r="N76" s="3"/>
      <c r="O76" s="3"/>
      <c r="P76" s="3"/>
      <c r="Q76" s="3"/>
      <c r="R76" s="91"/>
      <c r="S76" s="3"/>
      <c r="T76" s="3"/>
      <c r="U76" s="31">
        <f t="shared" si="3"/>
        <v>42</v>
      </c>
      <c r="V76" s="59"/>
      <c r="W76" s="31" t="s">
        <v>1240</v>
      </c>
      <c r="X76" s="31" t="s">
        <v>1241</v>
      </c>
      <c r="Y76" s="31"/>
      <c r="Z76" s="31" t="s">
        <v>1027</v>
      </c>
      <c r="AA76" s="31" t="s">
        <v>517</v>
      </c>
      <c r="AB76" s="31" t="s">
        <v>8</v>
      </c>
      <c r="AC76" s="43"/>
      <c r="AD76" s="31"/>
      <c r="AE76" s="31"/>
      <c r="AF76" s="87"/>
      <c r="AG76" s="31"/>
      <c r="AH76" s="3"/>
      <c r="AI76" s="3"/>
      <c r="AJ76" s="3"/>
      <c r="AK76" s="3"/>
    </row>
    <row r="77" s="2" customFormat="1" ht="22.5" spans="1:37">
      <c r="A77" s="31">
        <f t="shared" si="2"/>
        <v>43</v>
      </c>
      <c r="B77" s="59"/>
      <c r="C77" s="31" t="s">
        <v>1242</v>
      </c>
      <c r="D77" s="31" t="s">
        <v>1243</v>
      </c>
      <c r="E77" s="31"/>
      <c r="F77" s="31" t="s">
        <v>1027</v>
      </c>
      <c r="G77" s="31" t="s">
        <v>517</v>
      </c>
      <c r="H77" s="31" t="s">
        <v>8</v>
      </c>
      <c r="I77" s="43"/>
      <c r="J77" s="31"/>
      <c r="K77" s="31"/>
      <c r="L77" s="87"/>
      <c r="M77" s="31"/>
      <c r="N77" s="3"/>
      <c r="O77" s="3"/>
      <c r="P77" s="3"/>
      <c r="Q77" s="3"/>
      <c r="R77" s="91"/>
      <c r="S77" s="3"/>
      <c r="T77" s="3"/>
      <c r="U77" s="31">
        <f t="shared" si="3"/>
        <v>43</v>
      </c>
      <c r="V77" s="59"/>
      <c r="W77" s="31" t="s">
        <v>1242</v>
      </c>
      <c r="X77" s="31" t="s">
        <v>1243</v>
      </c>
      <c r="Y77" s="31"/>
      <c r="Z77" s="31" t="s">
        <v>1027</v>
      </c>
      <c r="AA77" s="31" t="s">
        <v>517</v>
      </c>
      <c r="AB77" s="31" t="s">
        <v>8</v>
      </c>
      <c r="AC77" s="43"/>
      <c r="AD77" s="31"/>
      <c r="AE77" s="31"/>
      <c r="AF77" s="87"/>
      <c r="AG77" s="31"/>
      <c r="AH77" s="3"/>
      <c r="AI77" s="3"/>
      <c r="AJ77" s="3"/>
      <c r="AK77" s="3"/>
    </row>
    <row r="78" s="2" customFormat="1" ht="22.5" spans="1:37">
      <c r="A78" s="31">
        <f t="shared" si="2"/>
        <v>44</v>
      </c>
      <c r="B78" s="59"/>
      <c r="C78" s="31" t="s">
        <v>1244</v>
      </c>
      <c r="D78" s="31" t="s">
        <v>1245</v>
      </c>
      <c r="E78" s="31"/>
      <c r="F78" s="31" t="s">
        <v>1027</v>
      </c>
      <c r="G78" s="31" t="s">
        <v>517</v>
      </c>
      <c r="H78" s="31" t="s">
        <v>8</v>
      </c>
      <c r="I78" s="43"/>
      <c r="J78" s="31"/>
      <c r="K78" s="31"/>
      <c r="L78" s="87"/>
      <c r="M78" s="31"/>
      <c r="N78" s="3"/>
      <c r="O78" s="3"/>
      <c r="P78" s="3"/>
      <c r="Q78" s="3"/>
      <c r="R78" s="91"/>
      <c r="S78" s="3"/>
      <c r="T78" s="3"/>
      <c r="U78" s="31">
        <f t="shared" si="3"/>
        <v>44</v>
      </c>
      <c r="V78" s="59"/>
      <c r="W78" s="31" t="s">
        <v>1244</v>
      </c>
      <c r="X78" s="31" t="s">
        <v>1245</v>
      </c>
      <c r="Y78" s="31"/>
      <c r="Z78" s="31" t="s">
        <v>1027</v>
      </c>
      <c r="AA78" s="31" t="s">
        <v>517</v>
      </c>
      <c r="AB78" s="31" t="s">
        <v>8</v>
      </c>
      <c r="AC78" s="43"/>
      <c r="AD78" s="31"/>
      <c r="AE78" s="31"/>
      <c r="AF78" s="87"/>
      <c r="AG78" s="31"/>
      <c r="AH78" s="3"/>
      <c r="AI78" s="3"/>
      <c r="AJ78" s="3"/>
      <c r="AK78" s="3"/>
    </row>
    <row r="79" s="2" customFormat="1" ht="22.5" spans="1:37">
      <c r="A79" s="31">
        <f t="shared" si="2"/>
        <v>45</v>
      </c>
      <c r="B79" s="59"/>
      <c r="C79" s="31" t="s">
        <v>1246</v>
      </c>
      <c r="D79" s="31" t="s">
        <v>1247</v>
      </c>
      <c r="E79" s="31"/>
      <c r="F79" s="31" t="s">
        <v>1027</v>
      </c>
      <c r="G79" s="31" t="s">
        <v>517</v>
      </c>
      <c r="H79" s="31" t="s">
        <v>8</v>
      </c>
      <c r="I79" s="43"/>
      <c r="J79" s="31"/>
      <c r="K79" s="31"/>
      <c r="L79" s="87"/>
      <c r="M79" s="31"/>
      <c r="N79" s="3"/>
      <c r="O79" s="3"/>
      <c r="P79" s="3"/>
      <c r="Q79" s="3"/>
      <c r="R79" s="91"/>
      <c r="S79" s="3"/>
      <c r="T79" s="3"/>
      <c r="U79" s="31">
        <f t="shared" si="3"/>
        <v>45</v>
      </c>
      <c r="V79" s="59"/>
      <c r="W79" s="31" t="s">
        <v>1246</v>
      </c>
      <c r="X79" s="31" t="s">
        <v>1247</v>
      </c>
      <c r="Y79" s="31"/>
      <c r="Z79" s="31" t="s">
        <v>1027</v>
      </c>
      <c r="AA79" s="31" t="s">
        <v>517</v>
      </c>
      <c r="AB79" s="31" t="s">
        <v>8</v>
      </c>
      <c r="AC79" s="43"/>
      <c r="AD79" s="31"/>
      <c r="AE79" s="31"/>
      <c r="AF79" s="87"/>
      <c r="AG79" s="31"/>
      <c r="AH79" s="3"/>
      <c r="AI79" s="3"/>
      <c r="AJ79" s="3"/>
      <c r="AK79" s="3"/>
    </row>
    <row r="80" s="2" customFormat="1" spans="1:37">
      <c r="A80" s="31">
        <f>A76+1</f>
        <v>43</v>
      </c>
      <c r="B80" s="59"/>
      <c r="C80" s="31" t="s">
        <v>1248</v>
      </c>
      <c r="D80" s="31" t="s">
        <v>1249</v>
      </c>
      <c r="E80" s="31"/>
      <c r="F80" s="31" t="s">
        <v>172</v>
      </c>
      <c r="G80" s="31" t="s">
        <v>173</v>
      </c>
      <c r="H80" s="31" t="s">
        <v>8</v>
      </c>
      <c r="I80" s="43"/>
      <c r="J80" s="90"/>
      <c r="K80" s="90"/>
      <c r="L80" s="92"/>
      <c r="M80" s="31"/>
      <c r="N80" s="3"/>
      <c r="O80" s="3"/>
      <c r="P80" s="3"/>
      <c r="Q80" s="3"/>
      <c r="R80" s="91"/>
      <c r="S80" s="3"/>
      <c r="T80" s="3"/>
      <c r="U80" s="31">
        <f>U76+1</f>
        <v>43</v>
      </c>
      <c r="V80" s="59"/>
      <c r="W80" s="31" t="s">
        <v>1248</v>
      </c>
      <c r="X80" s="31" t="s">
        <v>1249</v>
      </c>
      <c r="Y80" s="31"/>
      <c r="Z80" s="31" t="s">
        <v>172</v>
      </c>
      <c r="AA80" s="31" t="s">
        <v>173</v>
      </c>
      <c r="AB80" s="31" t="s">
        <v>8</v>
      </c>
      <c r="AC80" s="43"/>
      <c r="AD80" s="90"/>
      <c r="AE80" s="90"/>
      <c r="AF80" s="92"/>
      <c r="AG80" s="31"/>
      <c r="AH80" s="3"/>
      <c r="AI80" s="3"/>
      <c r="AJ80" s="3"/>
      <c r="AK80" s="3"/>
    </row>
    <row r="81" s="2" customFormat="1" spans="1:37">
      <c r="A81" s="31">
        <f t="shared" si="2"/>
        <v>44</v>
      </c>
      <c r="B81" s="59"/>
      <c r="C81" s="31" t="s">
        <v>982</v>
      </c>
      <c r="D81" s="87" t="s">
        <v>1152</v>
      </c>
      <c r="E81" s="31"/>
      <c r="F81" s="31" t="s">
        <v>172</v>
      </c>
      <c r="G81" s="31" t="s">
        <v>173</v>
      </c>
      <c r="H81" s="31" t="s">
        <v>8</v>
      </c>
      <c r="I81" s="43"/>
      <c r="J81" s="90"/>
      <c r="K81" s="90"/>
      <c r="L81" s="92"/>
      <c r="M81" s="31"/>
      <c r="N81" s="3"/>
      <c r="O81" s="3"/>
      <c r="P81" s="3"/>
      <c r="Q81" s="3"/>
      <c r="R81" s="91"/>
      <c r="S81" s="3"/>
      <c r="T81" s="3"/>
      <c r="U81" s="31">
        <f t="shared" ref="U81:U90" si="4">U80+1</f>
        <v>44</v>
      </c>
      <c r="V81" s="59"/>
      <c r="W81" s="31" t="s">
        <v>982</v>
      </c>
      <c r="X81" s="87" t="s">
        <v>1152</v>
      </c>
      <c r="Y81" s="31"/>
      <c r="Z81" s="31" t="s">
        <v>172</v>
      </c>
      <c r="AA81" s="31" t="s">
        <v>173</v>
      </c>
      <c r="AB81" s="31" t="s">
        <v>8</v>
      </c>
      <c r="AC81" s="43"/>
      <c r="AD81" s="90"/>
      <c r="AE81" s="90"/>
      <c r="AF81" s="92"/>
      <c r="AG81" s="31"/>
      <c r="AH81" s="3"/>
      <c r="AI81" s="3"/>
      <c r="AJ81" s="3"/>
      <c r="AK81" s="3"/>
    </row>
    <row r="82" s="2" customFormat="1" spans="1:37">
      <c r="A82" s="31">
        <f t="shared" si="2"/>
        <v>45</v>
      </c>
      <c r="B82" s="59"/>
      <c r="C82" s="31" t="s">
        <v>980</v>
      </c>
      <c r="D82" s="31" t="s">
        <v>981</v>
      </c>
      <c r="E82" s="31"/>
      <c r="F82" s="31" t="s">
        <v>141</v>
      </c>
      <c r="G82" s="31" t="s">
        <v>142</v>
      </c>
      <c r="H82" s="31">
        <v>64</v>
      </c>
      <c r="I82" s="43"/>
      <c r="J82" s="31"/>
      <c r="K82" s="31"/>
      <c r="L82" s="87"/>
      <c r="M82" s="31"/>
      <c r="N82" s="3"/>
      <c r="O82" s="3"/>
      <c r="P82" s="3"/>
      <c r="Q82" s="3"/>
      <c r="R82" s="91"/>
      <c r="S82" s="3"/>
      <c r="T82" s="3"/>
      <c r="U82" s="31">
        <f t="shared" si="4"/>
        <v>45</v>
      </c>
      <c r="V82" s="59"/>
      <c r="W82" s="31" t="s">
        <v>980</v>
      </c>
      <c r="X82" s="31" t="s">
        <v>981</v>
      </c>
      <c r="Y82" s="31"/>
      <c r="Z82" s="31" t="s">
        <v>141</v>
      </c>
      <c r="AA82" s="31" t="s">
        <v>142</v>
      </c>
      <c r="AB82" s="31">
        <v>64</v>
      </c>
      <c r="AC82" s="43"/>
      <c r="AD82" s="31"/>
      <c r="AE82" s="31"/>
      <c r="AF82" s="87"/>
      <c r="AG82" s="31"/>
      <c r="AH82" s="3"/>
      <c r="AI82" s="3"/>
      <c r="AJ82" s="3"/>
      <c r="AK82" s="3"/>
    </row>
    <row r="83" s="2" customFormat="1" ht="22.5" spans="1:33">
      <c r="A83" s="33">
        <f t="shared" si="2"/>
        <v>46</v>
      </c>
      <c r="B83" s="34"/>
      <c r="C83" s="33" t="s">
        <v>150</v>
      </c>
      <c r="D83" s="35" t="s">
        <v>151</v>
      </c>
      <c r="E83" s="33" t="s">
        <v>152</v>
      </c>
      <c r="F83" s="33" t="s">
        <v>153</v>
      </c>
      <c r="G83" s="33" t="s">
        <v>154</v>
      </c>
      <c r="H83" s="33" t="s">
        <v>8</v>
      </c>
      <c r="I83" s="45" t="s">
        <v>22</v>
      </c>
      <c r="J83" s="225" t="s">
        <v>155</v>
      </c>
      <c r="K83" s="33"/>
      <c r="L83" s="33"/>
      <c r="M83" s="33" t="s">
        <v>156</v>
      </c>
      <c r="R83" s="70"/>
      <c r="U83" s="76">
        <f t="shared" si="4"/>
        <v>46</v>
      </c>
      <c r="V83" s="77"/>
      <c r="W83" s="76" t="s">
        <v>150</v>
      </c>
      <c r="X83" s="78" t="s">
        <v>151</v>
      </c>
      <c r="Y83" s="76" t="s">
        <v>644</v>
      </c>
      <c r="Z83" s="76" t="s">
        <v>153</v>
      </c>
      <c r="AA83" s="76" t="s">
        <v>154</v>
      </c>
      <c r="AB83" s="76" t="s">
        <v>8</v>
      </c>
      <c r="AC83" s="81" t="s">
        <v>22</v>
      </c>
      <c r="AD83" s="230" t="s">
        <v>155</v>
      </c>
      <c r="AE83" s="76"/>
      <c r="AF83" s="76"/>
      <c r="AG83" s="76" t="s">
        <v>617</v>
      </c>
    </row>
    <row r="84" s="2" customFormat="1" ht="22.5" spans="1:33">
      <c r="A84" s="33">
        <f t="shared" si="2"/>
        <v>47</v>
      </c>
      <c r="B84" s="34"/>
      <c r="C84" s="33" t="s">
        <v>159</v>
      </c>
      <c r="D84" s="35" t="s">
        <v>160</v>
      </c>
      <c r="E84" s="33" t="s">
        <v>161</v>
      </c>
      <c r="F84" s="33" t="s">
        <v>153</v>
      </c>
      <c r="G84" s="33" t="s">
        <v>162</v>
      </c>
      <c r="H84" s="33"/>
      <c r="I84" s="45" t="s">
        <v>22</v>
      </c>
      <c r="J84" s="33">
        <v>0</v>
      </c>
      <c r="K84" s="33"/>
      <c r="L84" s="33"/>
      <c r="M84" s="33"/>
      <c r="R84" s="70"/>
      <c r="U84" s="76">
        <f t="shared" si="4"/>
        <v>47</v>
      </c>
      <c r="V84" s="77"/>
      <c r="W84" s="76" t="s">
        <v>159</v>
      </c>
      <c r="X84" s="78" t="s">
        <v>160</v>
      </c>
      <c r="Y84" s="76" t="s">
        <v>163</v>
      </c>
      <c r="Z84" s="76" t="s">
        <v>153</v>
      </c>
      <c r="AA84" s="76" t="s">
        <v>162</v>
      </c>
      <c r="AB84" s="76"/>
      <c r="AC84" s="81" t="s">
        <v>22</v>
      </c>
      <c r="AD84" s="76">
        <v>0</v>
      </c>
      <c r="AE84" s="76"/>
      <c r="AF84" s="76"/>
      <c r="AG84" s="76"/>
    </row>
    <row r="85" s="2" customFormat="1" spans="1:33">
      <c r="A85" s="33">
        <f t="shared" si="2"/>
        <v>48</v>
      </c>
      <c r="B85" s="34"/>
      <c r="C85" s="33" t="s">
        <v>164</v>
      </c>
      <c r="D85" s="35" t="s">
        <v>165</v>
      </c>
      <c r="E85" s="33"/>
      <c r="F85" s="33" t="s">
        <v>141</v>
      </c>
      <c r="G85" s="33" t="s">
        <v>142</v>
      </c>
      <c r="H85" s="33">
        <v>32</v>
      </c>
      <c r="I85" s="45"/>
      <c r="J85" s="33"/>
      <c r="K85" s="33"/>
      <c r="L85" s="33"/>
      <c r="M85" s="33"/>
      <c r="R85" s="70"/>
      <c r="U85" s="76">
        <f t="shared" si="4"/>
        <v>48</v>
      </c>
      <c r="V85" s="77"/>
      <c r="W85" s="76" t="s">
        <v>164</v>
      </c>
      <c r="X85" s="78" t="s">
        <v>165</v>
      </c>
      <c r="Y85" s="76"/>
      <c r="Z85" s="76" t="s">
        <v>141</v>
      </c>
      <c r="AA85" s="76" t="s">
        <v>142</v>
      </c>
      <c r="AB85" s="76">
        <v>32</v>
      </c>
      <c r="AC85" s="81"/>
      <c r="AD85" s="76"/>
      <c r="AE85" s="76"/>
      <c r="AF85" s="76"/>
      <c r="AG85" s="76"/>
    </row>
    <row r="86" s="2" customFormat="1" spans="1:33">
      <c r="A86" s="33">
        <f t="shared" si="2"/>
        <v>49</v>
      </c>
      <c r="B86" s="34"/>
      <c r="C86" s="33" t="s">
        <v>166</v>
      </c>
      <c r="D86" s="35" t="s">
        <v>167</v>
      </c>
      <c r="E86" s="33"/>
      <c r="F86" s="33" t="s">
        <v>153</v>
      </c>
      <c r="G86" s="33" t="s">
        <v>142</v>
      </c>
      <c r="H86" s="33">
        <v>32</v>
      </c>
      <c r="I86" s="45"/>
      <c r="J86" s="33"/>
      <c r="K86" s="33"/>
      <c r="L86" s="33"/>
      <c r="M86" s="33" t="s">
        <v>168</v>
      </c>
      <c r="R86" s="70"/>
      <c r="U86" s="76">
        <f t="shared" si="4"/>
        <v>49</v>
      </c>
      <c r="V86" s="77"/>
      <c r="W86" s="76" t="s">
        <v>166</v>
      </c>
      <c r="X86" s="78" t="s">
        <v>167</v>
      </c>
      <c r="Y86" s="76"/>
      <c r="Z86" s="76" t="s">
        <v>153</v>
      </c>
      <c r="AA86" s="76" t="s">
        <v>142</v>
      </c>
      <c r="AB86" s="76">
        <v>32</v>
      </c>
      <c r="AC86" s="81"/>
      <c r="AD86" s="76"/>
      <c r="AE86" s="76"/>
      <c r="AF86" s="76"/>
      <c r="AG86" s="76" t="s">
        <v>1159</v>
      </c>
    </row>
    <row r="87" s="2" customFormat="1" spans="1:33">
      <c r="A87" s="33">
        <f t="shared" si="2"/>
        <v>50</v>
      </c>
      <c r="B87" s="34"/>
      <c r="C87" s="36" t="s">
        <v>170</v>
      </c>
      <c r="D87" s="35" t="s">
        <v>171</v>
      </c>
      <c r="E87" s="33"/>
      <c r="F87" s="33" t="s">
        <v>172</v>
      </c>
      <c r="G87" s="33" t="s">
        <v>173</v>
      </c>
      <c r="H87" s="33" t="s">
        <v>8</v>
      </c>
      <c r="I87" s="45" t="s">
        <v>22</v>
      </c>
      <c r="J87" s="33"/>
      <c r="K87" s="33"/>
      <c r="L87" s="33"/>
      <c r="M87" s="33"/>
      <c r="R87" s="70"/>
      <c r="U87" s="76">
        <f t="shared" si="4"/>
        <v>50</v>
      </c>
      <c r="V87" s="77"/>
      <c r="W87" s="76" t="s">
        <v>351</v>
      </c>
      <c r="X87" s="78" t="s">
        <v>171</v>
      </c>
      <c r="Y87" s="76"/>
      <c r="Z87" s="76" t="s">
        <v>172</v>
      </c>
      <c r="AA87" s="76" t="s">
        <v>173</v>
      </c>
      <c r="AB87" s="76" t="s">
        <v>8</v>
      </c>
      <c r="AC87" s="81" t="s">
        <v>22</v>
      </c>
      <c r="AD87" s="76"/>
      <c r="AE87" s="76"/>
      <c r="AF87" s="76"/>
      <c r="AG87" s="76"/>
    </row>
    <row r="88" s="2" customFormat="1" spans="1:33">
      <c r="A88" s="33">
        <f t="shared" si="2"/>
        <v>51</v>
      </c>
      <c r="B88" s="34"/>
      <c r="C88" s="33" t="s">
        <v>174</v>
      </c>
      <c r="D88" s="35" t="s">
        <v>175</v>
      </c>
      <c r="E88" s="33"/>
      <c r="F88" s="33" t="s">
        <v>141</v>
      </c>
      <c r="G88" s="33" t="s">
        <v>142</v>
      </c>
      <c r="H88" s="33">
        <v>32</v>
      </c>
      <c r="I88" s="45"/>
      <c r="J88" s="33"/>
      <c r="K88" s="33"/>
      <c r="L88" s="33"/>
      <c r="M88" s="33"/>
      <c r="R88" s="70"/>
      <c r="U88" s="76">
        <f t="shared" si="4"/>
        <v>51</v>
      </c>
      <c r="V88" s="77"/>
      <c r="W88" s="76" t="s">
        <v>174</v>
      </c>
      <c r="X88" s="78" t="s">
        <v>175</v>
      </c>
      <c r="Y88" s="76"/>
      <c r="Z88" s="76" t="s">
        <v>141</v>
      </c>
      <c r="AA88" s="76" t="s">
        <v>142</v>
      </c>
      <c r="AB88" s="76">
        <v>32</v>
      </c>
      <c r="AC88" s="81"/>
      <c r="AD88" s="76"/>
      <c r="AE88" s="76"/>
      <c r="AF88" s="76"/>
      <c r="AG88" s="76"/>
    </row>
    <row r="89" s="2" customFormat="1" ht="22.5" spans="1:33">
      <c r="A89" s="33">
        <f t="shared" si="2"/>
        <v>52</v>
      </c>
      <c r="B89" s="34"/>
      <c r="C89" s="33" t="s">
        <v>176</v>
      </c>
      <c r="D89" s="35" t="s">
        <v>177</v>
      </c>
      <c r="E89" s="33" t="s">
        <v>178</v>
      </c>
      <c r="F89" s="33" t="s">
        <v>153</v>
      </c>
      <c r="G89" s="33" t="s">
        <v>142</v>
      </c>
      <c r="H89" s="33">
        <v>32</v>
      </c>
      <c r="I89" s="45"/>
      <c r="J89" s="33"/>
      <c r="K89" s="33"/>
      <c r="L89" s="33"/>
      <c r="M89" s="33" t="s">
        <v>179</v>
      </c>
      <c r="R89" s="70"/>
      <c r="U89" s="76">
        <f t="shared" si="4"/>
        <v>52</v>
      </c>
      <c r="V89" s="77"/>
      <c r="W89" s="76" t="s">
        <v>176</v>
      </c>
      <c r="X89" s="78" t="s">
        <v>177</v>
      </c>
      <c r="Y89" s="76" t="s">
        <v>180</v>
      </c>
      <c r="Z89" s="76" t="s">
        <v>153</v>
      </c>
      <c r="AA89" s="76" t="s">
        <v>142</v>
      </c>
      <c r="AB89" s="76">
        <v>32</v>
      </c>
      <c r="AC89" s="81"/>
      <c r="AD89" s="76"/>
      <c r="AE89" s="76"/>
      <c r="AF89" s="76"/>
      <c r="AG89" s="76" t="s">
        <v>1160</v>
      </c>
    </row>
    <row r="90" s="2" customFormat="1" spans="1:33">
      <c r="A90" s="33">
        <f t="shared" si="2"/>
        <v>53</v>
      </c>
      <c r="B90" s="34"/>
      <c r="C90" s="36" t="s">
        <v>182</v>
      </c>
      <c r="D90" s="35" t="s">
        <v>183</v>
      </c>
      <c r="E90" s="33"/>
      <c r="F90" s="33" t="s">
        <v>172</v>
      </c>
      <c r="G90" s="33" t="s">
        <v>173</v>
      </c>
      <c r="H90" s="33" t="s">
        <v>8</v>
      </c>
      <c r="I90" s="45" t="s">
        <v>22</v>
      </c>
      <c r="J90" s="33"/>
      <c r="K90" s="33"/>
      <c r="L90" s="33"/>
      <c r="M90" s="33"/>
      <c r="R90" s="70"/>
      <c r="U90" s="76">
        <f t="shared" si="4"/>
        <v>53</v>
      </c>
      <c r="V90" s="77"/>
      <c r="W90" s="76" t="s">
        <v>353</v>
      </c>
      <c r="X90" s="78" t="s">
        <v>183</v>
      </c>
      <c r="Y90" s="76"/>
      <c r="Z90" s="76" t="s">
        <v>172</v>
      </c>
      <c r="AA90" s="76" t="s">
        <v>173</v>
      </c>
      <c r="AB90" s="76" t="s">
        <v>8</v>
      </c>
      <c r="AC90" s="81" t="s">
        <v>22</v>
      </c>
      <c r="AD90" s="76"/>
      <c r="AE90" s="76"/>
      <c r="AF90" s="76"/>
      <c r="AG90" s="76"/>
    </row>
    <row r="92" spans="1:29">
      <c r="A92" s="6"/>
      <c r="B92" s="7" t="s">
        <v>15</v>
      </c>
      <c r="C92" s="8" t="s">
        <v>62</v>
      </c>
      <c r="D92" s="9"/>
      <c r="I92" s="37"/>
      <c r="U92" s="6"/>
      <c r="V92" s="7" t="s">
        <v>86</v>
      </c>
      <c r="W92" s="8" t="s">
        <v>62</v>
      </c>
      <c r="X92" s="9"/>
      <c r="AC92" s="37"/>
    </row>
    <row r="93" spans="1:33">
      <c r="A93" s="10"/>
      <c r="B93" s="11" t="s">
        <v>124</v>
      </c>
      <c r="C93" s="8" t="str">
        <f>テーブル一覧!E19</f>
        <v>T_SOD_QUE_RESULT</v>
      </c>
      <c r="D93" s="9"/>
      <c r="E93" s="2" t="s">
        <v>1250</v>
      </c>
      <c r="F93" s="3"/>
      <c r="G93" s="3"/>
      <c r="H93" s="3"/>
      <c r="I93" s="37"/>
      <c r="J93" s="3"/>
      <c r="K93" s="3"/>
      <c r="L93" s="3"/>
      <c r="M93" s="38"/>
      <c r="U93" s="10"/>
      <c r="V93" s="11" t="s">
        <v>125</v>
      </c>
      <c r="W93" s="8">
        <f>D93</f>
        <v>0</v>
      </c>
      <c r="X93" s="9"/>
      <c r="Y93" s="2" t="s">
        <v>1250</v>
      </c>
      <c r="Z93" s="3"/>
      <c r="AA93" s="3"/>
      <c r="AB93" s="3"/>
      <c r="AC93" s="37"/>
      <c r="AD93" s="3"/>
      <c r="AE93" s="3"/>
      <c r="AF93" s="3"/>
      <c r="AG93" s="38"/>
    </row>
    <row r="94" ht="22.5" spans="1:33">
      <c r="A94" s="12" t="s">
        <v>0</v>
      </c>
      <c r="B94" s="13"/>
      <c r="C94" s="14" t="s">
        <v>126</v>
      </c>
      <c r="D94" s="15" t="s">
        <v>15</v>
      </c>
      <c r="E94" s="14" t="s">
        <v>16</v>
      </c>
      <c r="F94" s="16" t="s">
        <v>127</v>
      </c>
      <c r="G94" s="14" t="s">
        <v>127</v>
      </c>
      <c r="H94" s="14" t="s">
        <v>128</v>
      </c>
      <c r="I94" s="39" t="s">
        <v>129</v>
      </c>
      <c r="J94" s="14" t="s">
        <v>130</v>
      </c>
      <c r="K94" s="14" t="s">
        <v>131</v>
      </c>
      <c r="L94" s="14" t="s">
        <v>132</v>
      </c>
      <c r="M94" s="14" t="s">
        <v>6</v>
      </c>
      <c r="U94" s="12" t="s">
        <v>0</v>
      </c>
      <c r="V94" s="13"/>
      <c r="W94" s="14" t="s">
        <v>133</v>
      </c>
      <c r="X94" s="15" t="s">
        <v>86</v>
      </c>
      <c r="Y94" s="14" t="s">
        <v>87</v>
      </c>
      <c r="Z94" s="16" t="s">
        <v>134</v>
      </c>
      <c r="AA94" s="14" t="s">
        <v>134</v>
      </c>
      <c r="AB94" s="14" t="s">
        <v>128</v>
      </c>
      <c r="AC94" s="39" t="s">
        <v>135</v>
      </c>
      <c r="AD94" s="14" t="s">
        <v>130</v>
      </c>
      <c r="AE94" s="14" t="s">
        <v>136</v>
      </c>
      <c r="AF94" s="14" t="s">
        <v>132</v>
      </c>
      <c r="AG94" s="14" t="s">
        <v>137</v>
      </c>
    </row>
    <row r="95" s="2" customFormat="1" spans="1:37">
      <c r="A95" s="31">
        <v>1</v>
      </c>
      <c r="B95" s="59"/>
      <c r="C95" s="31" t="s">
        <v>139</v>
      </c>
      <c r="D95" s="31" t="s">
        <v>1251</v>
      </c>
      <c r="E95" s="32"/>
      <c r="F95" s="32" t="s">
        <v>301</v>
      </c>
      <c r="G95" s="32" t="s">
        <v>302</v>
      </c>
      <c r="H95" s="32" t="s">
        <v>8</v>
      </c>
      <c r="I95" s="64" t="s">
        <v>22</v>
      </c>
      <c r="J95" s="32"/>
      <c r="K95" s="32" t="s">
        <v>303</v>
      </c>
      <c r="L95" s="32" t="s">
        <v>188</v>
      </c>
      <c r="M95" s="32"/>
      <c r="N95" s="3"/>
      <c r="O95" s="3"/>
      <c r="P95" s="3"/>
      <c r="Q95" s="3"/>
      <c r="R95" s="91"/>
      <c r="S95" s="3"/>
      <c r="T95" s="3"/>
      <c r="U95" s="31">
        <v>1</v>
      </c>
      <c r="V95" s="59"/>
      <c r="W95" s="31" t="s">
        <v>139</v>
      </c>
      <c r="X95" s="31" t="s">
        <v>1251</v>
      </c>
      <c r="Y95" s="32"/>
      <c r="Z95" s="32" t="s">
        <v>301</v>
      </c>
      <c r="AA95" s="79" t="s">
        <v>302</v>
      </c>
      <c r="AB95" s="32" t="s">
        <v>8</v>
      </c>
      <c r="AC95" s="64" t="s">
        <v>22</v>
      </c>
      <c r="AD95" s="32"/>
      <c r="AE95" s="32" t="s">
        <v>303</v>
      </c>
      <c r="AF95" s="32" t="s">
        <v>188</v>
      </c>
      <c r="AG95" s="32"/>
      <c r="AH95" s="3"/>
      <c r="AI95" s="3"/>
      <c r="AJ95" s="3"/>
      <c r="AK95" s="3"/>
    </row>
    <row r="96" s="2" customFormat="1" spans="1:37">
      <c r="A96" s="31">
        <f t="shared" ref="A96:A97" si="5">A95+1</f>
        <v>2</v>
      </c>
      <c r="B96" s="59"/>
      <c r="C96" s="31" t="s">
        <v>1111</v>
      </c>
      <c r="D96" s="31" t="s">
        <v>1112</v>
      </c>
      <c r="E96" s="31" t="s">
        <v>1113</v>
      </c>
      <c r="F96" s="31" t="s">
        <v>141</v>
      </c>
      <c r="G96" s="31" t="s">
        <v>142</v>
      </c>
      <c r="H96" s="31">
        <v>15</v>
      </c>
      <c r="I96" s="43" t="s">
        <v>22</v>
      </c>
      <c r="J96" s="31"/>
      <c r="K96" s="31"/>
      <c r="L96" s="31" t="s">
        <v>310</v>
      </c>
      <c r="M96" s="31"/>
      <c r="N96" s="3"/>
      <c r="O96" s="3"/>
      <c r="P96" s="3"/>
      <c r="Q96" s="3"/>
      <c r="R96" s="91"/>
      <c r="S96" s="3"/>
      <c r="T96" s="3"/>
      <c r="U96" s="31">
        <f t="shared" ref="U96:U151" si="6">U95+1</f>
        <v>2</v>
      </c>
      <c r="V96" s="59"/>
      <c r="W96" s="31" t="s">
        <v>1111</v>
      </c>
      <c r="X96" s="31" t="s">
        <v>1112</v>
      </c>
      <c r="Y96" s="31" t="s">
        <v>1114</v>
      </c>
      <c r="Z96" s="31" t="s">
        <v>141</v>
      </c>
      <c r="AA96" s="31" t="s">
        <v>142</v>
      </c>
      <c r="AB96" s="31">
        <v>15</v>
      </c>
      <c r="AC96" s="43" t="s">
        <v>22</v>
      </c>
      <c r="AD96" s="31"/>
      <c r="AE96" s="31"/>
      <c r="AF96" s="31" t="s">
        <v>310</v>
      </c>
      <c r="AG96" s="31"/>
      <c r="AH96" s="3"/>
      <c r="AI96" s="3"/>
      <c r="AJ96" s="3"/>
      <c r="AK96" s="3"/>
    </row>
    <row r="97" s="86" customFormat="1" ht="409.5" spans="1:37">
      <c r="A97" s="32">
        <f t="shared" si="5"/>
        <v>3</v>
      </c>
      <c r="B97" s="59" t="s">
        <v>393</v>
      </c>
      <c r="C97" s="32" t="s">
        <v>1115</v>
      </c>
      <c r="D97" s="32" t="s">
        <v>1252</v>
      </c>
      <c r="E97" s="32" t="s">
        <v>396</v>
      </c>
      <c r="F97" s="32" t="s">
        <v>141</v>
      </c>
      <c r="G97" s="31" t="s">
        <v>142</v>
      </c>
      <c r="H97" s="32">
        <v>5</v>
      </c>
      <c r="I97" s="64" t="s">
        <v>22</v>
      </c>
      <c r="J97" s="32"/>
      <c r="K97" s="32"/>
      <c r="L97" s="52" t="s">
        <v>315</v>
      </c>
      <c r="M97" s="32"/>
      <c r="N97" s="88"/>
      <c r="O97" s="3"/>
      <c r="P97" s="88"/>
      <c r="Q97" s="88"/>
      <c r="R97" s="91"/>
      <c r="S97" s="88"/>
      <c r="T97" s="88"/>
      <c r="U97" s="32">
        <f t="shared" si="6"/>
        <v>3</v>
      </c>
      <c r="V97" s="51"/>
      <c r="W97" s="32" t="s">
        <v>1115</v>
      </c>
      <c r="X97" s="32" t="s">
        <v>1252</v>
      </c>
      <c r="Y97" s="74" t="s">
        <v>1253</v>
      </c>
      <c r="Z97" s="32" t="s">
        <v>141</v>
      </c>
      <c r="AA97" s="31" t="s">
        <v>142</v>
      </c>
      <c r="AB97" s="32">
        <v>5</v>
      </c>
      <c r="AC97" s="64" t="s">
        <v>22</v>
      </c>
      <c r="AD97" s="32"/>
      <c r="AE97" s="32"/>
      <c r="AF97" s="52" t="s">
        <v>315</v>
      </c>
      <c r="AG97" s="32"/>
      <c r="AH97" s="88"/>
      <c r="AI97" s="3"/>
      <c r="AJ97" s="88"/>
      <c r="AK97" s="88"/>
    </row>
    <row r="98" s="2" customFormat="1" ht="56.25" spans="1:37">
      <c r="A98" s="31">
        <f>A96+1</f>
        <v>3</v>
      </c>
      <c r="B98" s="59"/>
      <c r="C98" s="31" t="s">
        <v>344</v>
      </c>
      <c r="D98" s="31" t="s">
        <v>1254</v>
      </c>
      <c r="E98" s="31" t="s">
        <v>1255</v>
      </c>
      <c r="F98" s="31" t="s">
        <v>153</v>
      </c>
      <c r="G98" s="31" t="s">
        <v>254</v>
      </c>
      <c r="H98" s="31" t="s">
        <v>8</v>
      </c>
      <c r="I98" s="43" t="s">
        <v>22</v>
      </c>
      <c r="J98" s="31">
        <v>1</v>
      </c>
      <c r="K98" s="31"/>
      <c r="L98" s="31"/>
      <c r="M98" s="31"/>
      <c r="N98" s="3"/>
      <c r="O98" s="3"/>
      <c r="P98" s="3"/>
      <c r="Q98" s="3"/>
      <c r="R98" s="91"/>
      <c r="S98" s="3"/>
      <c r="T98" s="3"/>
      <c r="U98" s="31">
        <f>U96+1</f>
        <v>3</v>
      </c>
      <c r="V98" s="59"/>
      <c r="W98" s="31" t="s">
        <v>344</v>
      </c>
      <c r="X98" s="31" t="s">
        <v>1254</v>
      </c>
      <c r="Y98" s="31" t="s">
        <v>1256</v>
      </c>
      <c r="Z98" s="31" t="s">
        <v>153</v>
      </c>
      <c r="AA98" s="31" t="s">
        <v>254</v>
      </c>
      <c r="AB98" s="31" t="s">
        <v>8</v>
      </c>
      <c r="AC98" s="43" t="s">
        <v>22</v>
      </c>
      <c r="AD98" s="31">
        <v>1</v>
      </c>
      <c r="AE98" s="31"/>
      <c r="AF98" s="31"/>
      <c r="AG98" s="31"/>
      <c r="AH98" s="3"/>
      <c r="AI98" s="3"/>
      <c r="AJ98" s="3"/>
      <c r="AK98" s="3"/>
    </row>
    <row r="99" s="2" customFormat="1" spans="1:37">
      <c r="A99" s="53">
        <f t="shared" ref="A99:A151" si="7">A98+1</f>
        <v>4</v>
      </c>
      <c r="B99" s="54"/>
      <c r="C99" s="53" t="s">
        <v>1166</v>
      </c>
      <c r="D99" s="55" t="s">
        <v>1167</v>
      </c>
      <c r="E99" s="53"/>
      <c r="F99" s="53" t="s">
        <v>153</v>
      </c>
      <c r="G99" s="53" t="s">
        <v>254</v>
      </c>
      <c r="H99" s="53" t="s">
        <v>8</v>
      </c>
      <c r="I99" s="65" t="s">
        <v>22</v>
      </c>
      <c r="J99" s="53">
        <v>0</v>
      </c>
      <c r="K99" s="53"/>
      <c r="L99" s="53"/>
      <c r="M99" s="53" t="s">
        <v>230</v>
      </c>
      <c r="N99" s="3"/>
      <c r="O99" s="3"/>
      <c r="P99" s="3"/>
      <c r="Q99" s="3"/>
      <c r="R99" s="91"/>
      <c r="S99" s="3"/>
      <c r="T99" s="3"/>
      <c r="U99" s="31">
        <f t="shared" si="6"/>
        <v>4</v>
      </c>
      <c r="V99" s="59"/>
      <c r="W99" s="31" t="s">
        <v>1166</v>
      </c>
      <c r="X99" s="87" t="s">
        <v>1167</v>
      </c>
      <c r="Y99" s="31"/>
      <c r="Z99" s="31" t="s">
        <v>153</v>
      </c>
      <c r="AA99" s="31" t="s">
        <v>254</v>
      </c>
      <c r="AB99" s="31" t="s">
        <v>8</v>
      </c>
      <c r="AC99" s="43" t="s">
        <v>22</v>
      </c>
      <c r="AD99" s="31">
        <v>0</v>
      </c>
      <c r="AE99" s="31"/>
      <c r="AF99" s="31"/>
      <c r="AG99" s="31"/>
      <c r="AH99" s="3"/>
      <c r="AI99" s="3"/>
      <c r="AJ99" s="3"/>
      <c r="AK99" s="3"/>
    </row>
    <row r="100" s="2" customFormat="1" spans="1:37">
      <c r="A100" s="31">
        <f t="shared" si="7"/>
        <v>5</v>
      </c>
      <c r="B100" s="59"/>
      <c r="C100" s="31" t="s">
        <v>1168</v>
      </c>
      <c r="D100" s="31" t="s">
        <v>1169</v>
      </c>
      <c r="E100" s="31"/>
      <c r="F100" s="31" t="s">
        <v>141</v>
      </c>
      <c r="G100" s="31" t="s">
        <v>142</v>
      </c>
      <c r="H100" s="31">
        <v>256</v>
      </c>
      <c r="I100" s="43"/>
      <c r="J100" s="31"/>
      <c r="K100" s="31"/>
      <c r="L100" s="87"/>
      <c r="M100" s="31"/>
      <c r="N100" s="3"/>
      <c r="O100" s="3"/>
      <c r="P100" s="3"/>
      <c r="Q100" s="3"/>
      <c r="R100" s="91"/>
      <c r="S100" s="3"/>
      <c r="T100" s="3"/>
      <c r="U100" s="31">
        <f t="shared" si="6"/>
        <v>5</v>
      </c>
      <c r="V100" s="59"/>
      <c r="W100" s="31" t="s">
        <v>1168</v>
      </c>
      <c r="X100" s="31" t="s">
        <v>1169</v>
      </c>
      <c r="Y100" s="31"/>
      <c r="Z100" s="31" t="s">
        <v>141</v>
      </c>
      <c r="AA100" s="31" t="s">
        <v>142</v>
      </c>
      <c r="AB100" s="31">
        <v>256</v>
      </c>
      <c r="AC100" s="43"/>
      <c r="AD100" s="31"/>
      <c r="AE100" s="31"/>
      <c r="AF100" s="87"/>
      <c r="AG100" s="31"/>
      <c r="AH100" s="3"/>
      <c r="AI100" s="3"/>
      <c r="AJ100" s="3"/>
      <c r="AK100" s="3"/>
    </row>
    <row r="101" s="2" customFormat="1" spans="1:37">
      <c r="A101" s="31">
        <f t="shared" si="7"/>
        <v>6</v>
      </c>
      <c r="B101" s="59"/>
      <c r="C101" s="31" t="s">
        <v>1170</v>
      </c>
      <c r="D101" s="31" t="s">
        <v>1171</v>
      </c>
      <c r="E101" s="31"/>
      <c r="F101" s="31" t="s">
        <v>141</v>
      </c>
      <c r="G101" s="31" t="s">
        <v>142</v>
      </c>
      <c r="H101" s="31">
        <v>256</v>
      </c>
      <c r="I101" s="43"/>
      <c r="J101" s="31"/>
      <c r="K101" s="31"/>
      <c r="L101" s="87"/>
      <c r="M101" s="31"/>
      <c r="N101" s="3"/>
      <c r="O101" s="3"/>
      <c r="P101" s="3"/>
      <c r="Q101" s="3"/>
      <c r="R101" s="91"/>
      <c r="S101" s="3"/>
      <c r="T101" s="3"/>
      <c r="U101" s="31">
        <f t="shared" si="6"/>
        <v>6</v>
      </c>
      <c r="V101" s="59"/>
      <c r="W101" s="31" t="s">
        <v>1170</v>
      </c>
      <c r="X101" s="31" t="s">
        <v>1171</v>
      </c>
      <c r="Y101" s="31"/>
      <c r="Z101" s="31" t="s">
        <v>141</v>
      </c>
      <c r="AA101" s="31" t="s">
        <v>142</v>
      </c>
      <c r="AB101" s="31">
        <v>256</v>
      </c>
      <c r="AC101" s="43"/>
      <c r="AD101" s="31"/>
      <c r="AE101" s="31"/>
      <c r="AF101" s="87"/>
      <c r="AG101" s="31"/>
      <c r="AH101" s="3"/>
      <c r="AI101" s="3"/>
      <c r="AJ101" s="3"/>
      <c r="AK101" s="3"/>
    </row>
    <row r="102" s="2" customFormat="1" spans="1:37">
      <c r="A102" s="31">
        <f t="shared" si="7"/>
        <v>7</v>
      </c>
      <c r="B102" s="59"/>
      <c r="C102" s="31" t="s">
        <v>1172</v>
      </c>
      <c r="D102" s="31" t="s">
        <v>1173</v>
      </c>
      <c r="E102" s="31"/>
      <c r="F102" s="31" t="s">
        <v>141</v>
      </c>
      <c r="G102" s="31" t="s">
        <v>142</v>
      </c>
      <c r="H102" s="31">
        <v>256</v>
      </c>
      <c r="I102" s="43"/>
      <c r="J102" s="31"/>
      <c r="K102" s="31"/>
      <c r="L102" s="87"/>
      <c r="M102" s="31"/>
      <c r="N102" s="3"/>
      <c r="O102" s="3"/>
      <c r="P102" s="3"/>
      <c r="Q102" s="3"/>
      <c r="R102" s="91"/>
      <c r="S102" s="3"/>
      <c r="T102" s="3"/>
      <c r="U102" s="31">
        <f t="shared" si="6"/>
        <v>7</v>
      </c>
      <c r="V102" s="59"/>
      <c r="W102" s="31" t="s">
        <v>1172</v>
      </c>
      <c r="X102" s="31" t="s">
        <v>1173</v>
      </c>
      <c r="Y102" s="31"/>
      <c r="Z102" s="31" t="s">
        <v>141</v>
      </c>
      <c r="AA102" s="31" t="s">
        <v>142</v>
      </c>
      <c r="AB102" s="31">
        <v>256</v>
      </c>
      <c r="AC102" s="43"/>
      <c r="AD102" s="31"/>
      <c r="AE102" s="31"/>
      <c r="AF102" s="87"/>
      <c r="AG102" s="31"/>
      <c r="AH102" s="3"/>
      <c r="AI102" s="3"/>
      <c r="AJ102" s="3"/>
      <c r="AK102" s="3"/>
    </row>
    <row r="103" s="2" customFormat="1" spans="1:37">
      <c r="A103" s="31">
        <f t="shared" si="7"/>
        <v>8</v>
      </c>
      <c r="B103" s="59"/>
      <c r="C103" s="31" t="s">
        <v>1174</v>
      </c>
      <c r="D103" s="31" t="s">
        <v>1175</v>
      </c>
      <c r="E103" s="31"/>
      <c r="F103" s="31" t="s">
        <v>141</v>
      </c>
      <c r="G103" s="31" t="s">
        <v>142</v>
      </c>
      <c r="H103" s="31">
        <v>256</v>
      </c>
      <c r="I103" s="43"/>
      <c r="J103" s="31"/>
      <c r="K103" s="31"/>
      <c r="L103" s="87"/>
      <c r="M103" s="31"/>
      <c r="N103" s="3"/>
      <c r="O103" s="3"/>
      <c r="P103" s="3"/>
      <c r="Q103" s="3"/>
      <c r="R103" s="91"/>
      <c r="S103" s="3"/>
      <c r="T103" s="3"/>
      <c r="U103" s="31">
        <f t="shared" si="6"/>
        <v>8</v>
      </c>
      <c r="V103" s="59"/>
      <c r="W103" s="31" t="s">
        <v>1174</v>
      </c>
      <c r="X103" s="31" t="s">
        <v>1175</v>
      </c>
      <c r="Y103" s="31"/>
      <c r="Z103" s="31" t="s">
        <v>141</v>
      </c>
      <c r="AA103" s="31" t="s">
        <v>142</v>
      </c>
      <c r="AB103" s="31">
        <v>256</v>
      </c>
      <c r="AC103" s="43"/>
      <c r="AD103" s="31"/>
      <c r="AE103" s="31"/>
      <c r="AF103" s="87"/>
      <c r="AG103" s="31"/>
      <c r="AH103" s="3"/>
      <c r="AI103" s="3"/>
      <c r="AJ103" s="3"/>
      <c r="AK103" s="3"/>
    </row>
    <row r="104" s="2" customFormat="1" spans="1:37">
      <c r="A104" s="31">
        <f t="shared" si="7"/>
        <v>9</v>
      </c>
      <c r="B104" s="59"/>
      <c r="C104" s="31" t="s">
        <v>1176</v>
      </c>
      <c r="D104" s="31" t="s">
        <v>1177</v>
      </c>
      <c r="E104" s="31"/>
      <c r="F104" s="31" t="s">
        <v>141</v>
      </c>
      <c r="G104" s="31" t="s">
        <v>142</v>
      </c>
      <c r="H104" s="31">
        <v>256</v>
      </c>
      <c r="I104" s="43"/>
      <c r="J104" s="31"/>
      <c r="K104" s="31"/>
      <c r="L104" s="87"/>
      <c r="M104" s="31"/>
      <c r="N104" s="3"/>
      <c r="O104" s="3"/>
      <c r="P104" s="3"/>
      <c r="Q104" s="3"/>
      <c r="R104" s="91"/>
      <c r="S104" s="3"/>
      <c r="T104" s="3"/>
      <c r="U104" s="31">
        <f t="shared" si="6"/>
        <v>9</v>
      </c>
      <c r="V104" s="59"/>
      <c r="W104" s="31" t="s">
        <v>1176</v>
      </c>
      <c r="X104" s="31" t="s">
        <v>1177</v>
      </c>
      <c r="Y104" s="31"/>
      <c r="Z104" s="31" t="s">
        <v>141</v>
      </c>
      <c r="AA104" s="31" t="s">
        <v>142</v>
      </c>
      <c r="AB104" s="31">
        <v>256</v>
      </c>
      <c r="AC104" s="43"/>
      <c r="AD104" s="31"/>
      <c r="AE104" s="31"/>
      <c r="AF104" s="87"/>
      <c r="AG104" s="31"/>
      <c r="AH104" s="3"/>
      <c r="AI104" s="3"/>
      <c r="AJ104" s="3"/>
      <c r="AK104" s="3"/>
    </row>
    <row r="105" s="2" customFormat="1" spans="1:37">
      <c r="A105" s="31">
        <f t="shared" si="7"/>
        <v>10</v>
      </c>
      <c r="B105" s="59"/>
      <c r="C105" s="31" t="s">
        <v>1178</v>
      </c>
      <c r="D105" s="31" t="s">
        <v>1179</v>
      </c>
      <c r="E105" s="31"/>
      <c r="F105" s="31" t="s">
        <v>141</v>
      </c>
      <c r="G105" s="31" t="s">
        <v>142</v>
      </c>
      <c r="H105" s="31">
        <v>256</v>
      </c>
      <c r="I105" s="43"/>
      <c r="J105" s="31"/>
      <c r="K105" s="31"/>
      <c r="L105" s="87"/>
      <c r="M105" s="31"/>
      <c r="N105" s="3"/>
      <c r="O105" s="3"/>
      <c r="P105" s="3"/>
      <c r="Q105" s="3"/>
      <c r="R105" s="91"/>
      <c r="S105" s="3"/>
      <c r="T105" s="3"/>
      <c r="U105" s="31">
        <f t="shared" si="6"/>
        <v>10</v>
      </c>
      <c r="V105" s="59"/>
      <c r="W105" s="31" t="s">
        <v>1178</v>
      </c>
      <c r="X105" s="31" t="s">
        <v>1179</v>
      </c>
      <c r="Y105" s="31"/>
      <c r="Z105" s="31" t="s">
        <v>141</v>
      </c>
      <c r="AA105" s="31" t="s">
        <v>142</v>
      </c>
      <c r="AB105" s="31">
        <v>256</v>
      </c>
      <c r="AC105" s="43"/>
      <c r="AD105" s="31"/>
      <c r="AE105" s="31"/>
      <c r="AF105" s="87"/>
      <c r="AG105" s="31"/>
      <c r="AH105" s="3"/>
      <c r="AI105" s="3"/>
      <c r="AJ105" s="3"/>
      <c r="AK105" s="3"/>
    </row>
    <row r="106" s="2" customFormat="1" spans="1:37">
      <c r="A106" s="31">
        <f t="shared" si="7"/>
        <v>11</v>
      </c>
      <c r="B106" s="59"/>
      <c r="C106" s="31" t="s">
        <v>1180</v>
      </c>
      <c r="D106" s="31" t="s">
        <v>1181</v>
      </c>
      <c r="E106" s="31"/>
      <c r="F106" s="31" t="s">
        <v>141</v>
      </c>
      <c r="G106" s="31" t="s">
        <v>142</v>
      </c>
      <c r="H106" s="31">
        <v>256</v>
      </c>
      <c r="I106" s="43"/>
      <c r="J106" s="31"/>
      <c r="K106" s="31"/>
      <c r="L106" s="87"/>
      <c r="M106" s="31"/>
      <c r="N106" s="3"/>
      <c r="O106" s="3"/>
      <c r="P106" s="3"/>
      <c r="Q106" s="3"/>
      <c r="R106" s="91"/>
      <c r="S106" s="3"/>
      <c r="T106" s="3"/>
      <c r="U106" s="31">
        <f t="shared" si="6"/>
        <v>11</v>
      </c>
      <c r="V106" s="59"/>
      <c r="W106" s="31" t="s">
        <v>1180</v>
      </c>
      <c r="X106" s="31" t="s">
        <v>1181</v>
      </c>
      <c r="Y106" s="31"/>
      <c r="Z106" s="31" t="s">
        <v>141</v>
      </c>
      <c r="AA106" s="31" t="s">
        <v>142</v>
      </c>
      <c r="AB106" s="31">
        <v>256</v>
      </c>
      <c r="AC106" s="43"/>
      <c r="AD106" s="31"/>
      <c r="AE106" s="31"/>
      <c r="AF106" s="87"/>
      <c r="AG106" s="31"/>
      <c r="AH106" s="3"/>
      <c r="AI106" s="3"/>
      <c r="AJ106" s="3"/>
      <c r="AK106" s="3"/>
    </row>
    <row r="107" s="2" customFormat="1" spans="1:37">
      <c r="A107" s="31">
        <f t="shared" si="7"/>
        <v>12</v>
      </c>
      <c r="B107" s="59"/>
      <c r="C107" s="31" t="s">
        <v>1182</v>
      </c>
      <c r="D107" s="31" t="s">
        <v>1183</v>
      </c>
      <c r="E107" s="31"/>
      <c r="F107" s="31" t="s">
        <v>141</v>
      </c>
      <c r="G107" s="31" t="s">
        <v>142</v>
      </c>
      <c r="H107" s="31">
        <v>256</v>
      </c>
      <c r="I107" s="43"/>
      <c r="J107" s="31"/>
      <c r="K107" s="31"/>
      <c r="L107" s="87"/>
      <c r="M107" s="31"/>
      <c r="N107" s="3"/>
      <c r="O107" s="3"/>
      <c r="P107" s="3"/>
      <c r="Q107" s="3"/>
      <c r="R107" s="91"/>
      <c r="S107" s="3"/>
      <c r="T107" s="3"/>
      <c r="U107" s="31">
        <f t="shared" si="6"/>
        <v>12</v>
      </c>
      <c r="V107" s="59"/>
      <c r="W107" s="31" t="s">
        <v>1182</v>
      </c>
      <c r="X107" s="31" t="s">
        <v>1183</v>
      </c>
      <c r="Y107" s="31"/>
      <c r="Z107" s="31" t="s">
        <v>141</v>
      </c>
      <c r="AA107" s="31" t="s">
        <v>142</v>
      </c>
      <c r="AB107" s="31">
        <v>256</v>
      </c>
      <c r="AC107" s="43"/>
      <c r="AD107" s="31"/>
      <c r="AE107" s="31"/>
      <c r="AF107" s="87"/>
      <c r="AG107" s="31"/>
      <c r="AH107" s="3"/>
      <c r="AI107" s="3"/>
      <c r="AJ107" s="3"/>
      <c r="AK107" s="3"/>
    </row>
    <row r="108" s="2" customFormat="1" spans="1:37">
      <c r="A108" s="31">
        <f t="shared" si="7"/>
        <v>13</v>
      </c>
      <c r="B108" s="59"/>
      <c r="C108" s="31" t="s">
        <v>1184</v>
      </c>
      <c r="D108" s="31" t="s">
        <v>1185</v>
      </c>
      <c r="E108" s="31"/>
      <c r="F108" s="31" t="s">
        <v>141</v>
      </c>
      <c r="G108" s="31" t="s">
        <v>142</v>
      </c>
      <c r="H108" s="31">
        <v>256</v>
      </c>
      <c r="I108" s="43"/>
      <c r="J108" s="31"/>
      <c r="K108" s="31"/>
      <c r="L108" s="87"/>
      <c r="M108" s="31"/>
      <c r="N108" s="3"/>
      <c r="O108" s="3"/>
      <c r="P108" s="3"/>
      <c r="Q108" s="3"/>
      <c r="R108" s="91"/>
      <c r="S108" s="3"/>
      <c r="T108" s="3"/>
      <c r="U108" s="31">
        <f t="shared" si="6"/>
        <v>13</v>
      </c>
      <c r="V108" s="59"/>
      <c r="W108" s="31" t="s">
        <v>1184</v>
      </c>
      <c r="X108" s="31" t="s">
        <v>1185</v>
      </c>
      <c r="Y108" s="31"/>
      <c r="Z108" s="31" t="s">
        <v>141</v>
      </c>
      <c r="AA108" s="31" t="s">
        <v>142</v>
      </c>
      <c r="AB108" s="31">
        <v>256</v>
      </c>
      <c r="AC108" s="43"/>
      <c r="AD108" s="31"/>
      <c r="AE108" s="31"/>
      <c r="AF108" s="87"/>
      <c r="AG108" s="31"/>
      <c r="AH108" s="3"/>
      <c r="AI108" s="3"/>
      <c r="AJ108" s="3"/>
      <c r="AK108" s="3"/>
    </row>
    <row r="109" s="2" customFormat="1" spans="1:37">
      <c r="A109" s="31">
        <f t="shared" si="7"/>
        <v>14</v>
      </c>
      <c r="B109" s="59"/>
      <c r="C109" s="31" t="s">
        <v>1186</v>
      </c>
      <c r="D109" s="31" t="s">
        <v>1187</v>
      </c>
      <c r="E109" s="31"/>
      <c r="F109" s="31" t="s">
        <v>141</v>
      </c>
      <c r="G109" s="31" t="s">
        <v>142</v>
      </c>
      <c r="H109" s="31">
        <v>256</v>
      </c>
      <c r="I109" s="43"/>
      <c r="J109" s="31"/>
      <c r="K109" s="31"/>
      <c r="L109" s="87"/>
      <c r="M109" s="31"/>
      <c r="N109" s="3"/>
      <c r="O109" s="3"/>
      <c r="P109" s="3"/>
      <c r="Q109" s="3"/>
      <c r="R109" s="91"/>
      <c r="S109" s="3"/>
      <c r="T109" s="3"/>
      <c r="U109" s="31">
        <f t="shared" si="6"/>
        <v>14</v>
      </c>
      <c r="V109" s="59"/>
      <c r="W109" s="31" t="s">
        <v>1186</v>
      </c>
      <c r="X109" s="31" t="s">
        <v>1187</v>
      </c>
      <c r="Y109" s="31"/>
      <c r="Z109" s="31" t="s">
        <v>141</v>
      </c>
      <c r="AA109" s="31" t="s">
        <v>142</v>
      </c>
      <c r="AB109" s="31">
        <v>256</v>
      </c>
      <c r="AC109" s="43"/>
      <c r="AD109" s="31"/>
      <c r="AE109" s="31"/>
      <c r="AF109" s="87"/>
      <c r="AG109" s="31"/>
      <c r="AH109" s="3"/>
      <c r="AI109" s="3"/>
      <c r="AJ109" s="3"/>
      <c r="AK109" s="3"/>
    </row>
    <row r="110" s="2" customFormat="1" spans="1:37">
      <c r="A110" s="31">
        <f t="shared" si="7"/>
        <v>15</v>
      </c>
      <c r="B110" s="59"/>
      <c r="C110" s="31" t="s">
        <v>1188</v>
      </c>
      <c r="D110" s="31" t="s">
        <v>1189</v>
      </c>
      <c r="E110" s="31"/>
      <c r="F110" s="31" t="s">
        <v>141</v>
      </c>
      <c r="G110" s="31" t="s">
        <v>142</v>
      </c>
      <c r="H110" s="31">
        <v>256</v>
      </c>
      <c r="I110" s="43"/>
      <c r="J110" s="31"/>
      <c r="K110" s="31"/>
      <c r="L110" s="87"/>
      <c r="M110" s="31"/>
      <c r="N110" s="3"/>
      <c r="O110" s="3"/>
      <c r="P110" s="3"/>
      <c r="Q110" s="3"/>
      <c r="R110" s="91"/>
      <c r="S110" s="3"/>
      <c r="T110" s="3"/>
      <c r="U110" s="31">
        <f t="shared" si="6"/>
        <v>15</v>
      </c>
      <c r="V110" s="59"/>
      <c r="W110" s="31" t="s">
        <v>1188</v>
      </c>
      <c r="X110" s="31" t="s">
        <v>1189</v>
      </c>
      <c r="Y110" s="31"/>
      <c r="Z110" s="31" t="s">
        <v>141</v>
      </c>
      <c r="AA110" s="31" t="s">
        <v>142</v>
      </c>
      <c r="AB110" s="31">
        <v>256</v>
      </c>
      <c r="AC110" s="43"/>
      <c r="AD110" s="31"/>
      <c r="AE110" s="31"/>
      <c r="AF110" s="87"/>
      <c r="AG110" s="31"/>
      <c r="AH110" s="3"/>
      <c r="AI110" s="3"/>
      <c r="AJ110" s="3"/>
      <c r="AK110" s="3"/>
    </row>
    <row r="111" s="2" customFormat="1" spans="1:37">
      <c r="A111" s="31">
        <f t="shared" si="7"/>
        <v>16</v>
      </c>
      <c r="B111" s="59"/>
      <c r="C111" s="31" t="s">
        <v>1190</v>
      </c>
      <c r="D111" s="31" t="s">
        <v>1191</v>
      </c>
      <c r="E111" s="31"/>
      <c r="F111" s="31" t="s">
        <v>141</v>
      </c>
      <c r="G111" s="31" t="s">
        <v>142</v>
      </c>
      <c r="H111" s="31">
        <v>256</v>
      </c>
      <c r="I111" s="43"/>
      <c r="J111" s="31"/>
      <c r="K111" s="31"/>
      <c r="L111" s="87"/>
      <c r="M111" s="31"/>
      <c r="N111" s="3"/>
      <c r="O111" s="3"/>
      <c r="P111" s="3"/>
      <c r="Q111" s="3"/>
      <c r="R111" s="91"/>
      <c r="S111" s="3"/>
      <c r="T111" s="3"/>
      <c r="U111" s="31">
        <f t="shared" si="6"/>
        <v>16</v>
      </c>
      <c r="V111" s="59"/>
      <c r="W111" s="31" t="s">
        <v>1190</v>
      </c>
      <c r="X111" s="31" t="s">
        <v>1191</v>
      </c>
      <c r="Y111" s="31"/>
      <c r="Z111" s="31" t="s">
        <v>141</v>
      </c>
      <c r="AA111" s="31" t="s">
        <v>142</v>
      </c>
      <c r="AB111" s="31">
        <v>256</v>
      </c>
      <c r="AC111" s="43"/>
      <c r="AD111" s="31"/>
      <c r="AE111" s="31"/>
      <c r="AF111" s="87"/>
      <c r="AG111" s="31"/>
      <c r="AH111" s="3"/>
      <c r="AI111" s="3"/>
      <c r="AJ111" s="3"/>
      <c r="AK111" s="3"/>
    </row>
    <row r="112" s="2" customFormat="1" spans="1:37">
      <c r="A112" s="31">
        <f t="shared" si="7"/>
        <v>17</v>
      </c>
      <c r="B112" s="59"/>
      <c r="C112" s="31" t="s">
        <v>1192</v>
      </c>
      <c r="D112" s="31" t="s">
        <v>1193</v>
      </c>
      <c r="E112" s="31"/>
      <c r="F112" s="31" t="s">
        <v>141</v>
      </c>
      <c r="G112" s="31" t="s">
        <v>142</v>
      </c>
      <c r="H112" s="31">
        <v>256</v>
      </c>
      <c r="I112" s="43"/>
      <c r="J112" s="31"/>
      <c r="K112" s="31"/>
      <c r="L112" s="87"/>
      <c r="M112" s="31"/>
      <c r="N112" s="3"/>
      <c r="O112" s="3"/>
      <c r="P112" s="3"/>
      <c r="Q112" s="3"/>
      <c r="R112" s="91"/>
      <c r="S112" s="3"/>
      <c r="T112" s="3"/>
      <c r="U112" s="31">
        <f t="shared" si="6"/>
        <v>17</v>
      </c>
      <c r="V112" s="59"/>
      <c r="W112" s="31" t="s">
        <v>1192</v>
      </c>
      <c r="X112" s="31" t="s">
        <v>1193</v>
      </c>
      <c r="Y112" s="31"/>
      <c r="Z112" s="31" t="s">
        <v>141</v>
      </c>
      <c r="AA112" s="31" t="s">
        <v>142</v>
      </c>
      <c r="AB112" s="31">
        <v>256</v>
      </c>
      <c r="AC112" s="43"/>
      <c r="AD112" s="31"/>
      <c r="AE112" s="31"/>
      <c r="AF112" s="87"/>
      <c r="AG112" s="31"/>
      <c r="AH112" s="3"/>
      <c r="AI112" s="3"/>
      <c r="AJ112" s="3"/>
      <c r="AK112" s="3"/>
    </row>
    <row r="113" s="2" customFormat="1" spans="1:37">
      <c r="A113" s="31">
        <f t="shared" si="7"/>
        <v>18</v>
      </c>
      <c r="B113" s="59"/>
      <c r="C113" s="31" t="s">
        <v>1194</v>
      </c>
      <c r="D113" s="31" t="s">
        <v>1195</v>
      </c>
      <c r="E113" s="31"/>
      <c r="F113" s="31" t="s">
        <v>141</v>
      </c>
      <c r="G113" s="31" t="s">
        <v>142</v>
      </c>
      <c r="H113" s="31">
        <v>256</v>
      </c>
      <c r="I113" s="43"/>
      <c r="J113" s="31"/>
      <c r="K113" s="31"/>
      <c r="L113" s="87"/>
      <c r="M113" s="31"/>
      <c r="N113" s="3"/>
      <c r="O113" s="3"/>
      <c r="P113" s="3"/>
      <c r="Q113" s="3"/>
      <c r="R113" s="91"/>
      <c r="S113" s="3"/>
      <c r="T113" s="3"/>
      <c r="U113" s="31">
        <f t="shared" si="6"/>
        <v>18</v>
      </c>
      <c r="V113" s="59"/>
      <c r="W113" s="31" t="s">
        <v>1194</v>
      </c>
      <c r="X113" s="31" t="s">
        <v>1195</v>
      </c>
      <c r="Y113" s="31"/>
      <c r="Z113" s="31" t="s">
        <v>141</v>
      </c>
      <c r="AA113" s="31" t="s">
        <v>142</v>
      </c>
      <c r="AB113" s="31">
        <v>256</v>
      </c>
      <c r="AC113" s="43"/>
      <c r="AD113" s="31"/>
      <c r="AE113" s="31"/>
      <c r="AF113" s="87"/>
      <c r="AG113" s="31"/>
      <c r="AH113" s="3"/>
      <c r="AI113" s="3"/>
      <c r="AJ113" s="3"/>
      <c r="AK113" s="3"/>
    </row>
    <row r="114" s="2" customFormat="1" spans="1:37">
      <c r="A114" s="31">
        <f t="shared" si="7"/>
        <v>19</v>
      </c>
      <c r="B114" s="59"/>
      <c r="C114" s="31" t="s">
        <v>1196</v>
      </c>
      <c r="D114" s="31" t="s">
        <v>1197</v>
      </c>
      <c r="E114" s="31"/>
      <c r="F114" s="31" t="s">
        <v>141</v>
      </c>
      <c r="G114" s="31" t="s">
        <v>142</v>
      </c>
      <c r="H114" s="31">
        <v>256</v>
      </c>
      <c r="I114" s="43"/>
      <c r="J114" s="31"/>
      <c r="K114" s="31"/>
      <c r="L114" s="87"/>
      <c r="M114" s="31"/>
      <c r="N114" s="3"/>
      <c r="O114" s="3"/>
      <c r="P114" s="3"/>
      <c r="Q114" s="3"/>
      <c r="R114" s="91"/>
      <c r="S114" s="3"/>
      <c r="T114" s="3"/>
      <c r="U114" s="31">
        <f t="shared" si="6"/>
        <v>19</v>
      </c>
      <c r="V114" s="59"/>
      <c r="W114" s="31" t="s">
        <v>1196</v>
      </c>
      <c r="X114" s="31" t="s">
        <v>1197</v>
      </c>
      <c r="Y114" s="31"/>
      <c r="Z114" s="31" t="s">
        <v>141</v>
      </c>
      <c r="AA114" s="31" t="s">
        <v>142</v>
      </c>
      <c r="AB114" s="31">
        <v>256</v>
      </c>
      <c r="AC114" s="43"/>
      <c r="AD114" s="31"/>
      <c r="AE114" s="31"/>
      <c r="AF114" s="87"/>
      <c r="AG114" s="31"/>
      <c r="AH114" s="3"/>
      <c r="AI114" s="3"/>
      <c r="AJ114" s="3"/>
      <c r="AK114" s="3"/>
    </row>
    <row r="115" s="2" customFormat="1" spans="1:37">
      <c r="A115" s="31">
        <f t="shared" si="7"/>
        <v>20</v>
      </c>
      <c r="B115" s="59"/>
      <c r="C115" s="31" t="s">
        <v>1198</v>
      </c>
      <c r="D115" s="31" t="s">
        <v>1199</v>
      </c>
      <c r="E115" s="31"/>
      <c r="F115" s="31" t="s">
        <v>141</v>
      </c>
      <c r="G115" s="31" t="s">
        <v>142</v>
      </c>
      <c r="H115" s="31">
        <v>256</v>
      </c>
      <c r="I115" s="43"/>
      <c r="J115" s="31"/>
      <c r="K115" s="31"/>
      <c r="L115" s="87"/>
      <c r="M115" s="31"/>
      <c r="N115" s="3"/>
      <c r="O115" s="3"/>
      <c r="P115" s="3"/>
      <c r="Q115" s="3"/>
      <c r="R115" s="91"/>
      <c r="S115" s="3"/>
      <c r="T115" s="3"/>
      <c r="U115" s="31">
        <f t="shared" si="6"/>
        <v>20</v>
      </c>
      <c r="V115" s="59"/>
      <c r="W115" s="31" t="s">
        <v>1198</v>
      </c>
      <c r="X115" s="31" t="s">
        <v>1199</v>
      </c>
      <c r="Y115" s="31"/>
      <c r="Z115" s="31" t="s">
        <v>141</v>
      </c>
      <c r="AA115" s="31" t="s">
        <v>142</v>
      </c>
      <c r="AB115" s="31">
        <v>256</v>
      </c>
      <c r="AC115" s="43"/>
      <c r="AD115" s="31"/>
      <c r="AE115" s="31"/>
      <c r="AF115" s="87"/>
      <c r="AG115" s="31"/>
      <c r="AH115" s="3"/>
      <c r="AI115" s="3"/>
      <c r="AJ115" s="3"/>
      <c r="AK115" s="3"/>
    </row>
    <row r="116" s="2" customFormat="1" spans="1:37">
      <c r="A116" s="31">
        <f t="shared" si="7"/>
        <v>21</v>
      </c>
      <c r="B116" s="59"/>
      <c r="C116" s="31" t="s">
        <v>1200</v>
      </c>
      <c r="D116" s="31" t="s">
        <v>1201</v>
      </c>
      <c r="E116" s="31"/>
      <c r="F116" s="31" t="s">
        <v>141</v>
      </c>
      <c r="G116" s="31" t="s">
        <v>142</v>
      </c>
      <c r="H116" s="31">
        <v>256</v>
      </c>
      <c r="I116" s="43"/>
      <c r="J116" s="31"/>
      <c r="K116" s="31"/>
      <c r="L116" s="87"/>
      <c r="M116" s="31"/>
      <c r="N116" s="3"/>
      <c r="O116" s="3"/>
      <c r="P116" s="3"/>
      <c r="Q116" s="3"/>
      <c r="R116" s="91"/>
      <c r="S116" s="3"/>
      <c r="T116" s="3"/>
      <c r="U116" s="31">
        <f t="shared" si="6"/>
        <v>21</v>
      </c>
      <c r="V116" s="59"/>
      <c r="W116" s="31" t="s">
        <v>1200</v>
      </c>
      <c r="X116" s="31" t="s">
        <v>1201</v>
      </c>
      <c r="Y116" s="31"/>
      <c r="Z116" s="31" t="s">
        <v>141</v>
      </c>
      <c r="AA116" s="31" t="s">
        <v>142</v>
      </c>
      <c r="AB116" s="31">
        <v>256</v>
      </c>
      <c r="AC116" s="43"/>
      <c r="AD116" s="31"/>
      <c r="AE116" s="31"/>
      <c r="AF116" s="87"/>
      <c r="AG116" s="31"/>
      <c r="AH116" s="3"/>
      <c r="AI116" s="3"/>
      <c r="AJ116" s="3"/>
      <c r="AK116" s="3"/>
    </row>
    <row r="117" s="2" customFormat="1" spans="1:37">
      <c r="A117" s="31">
        <f t="shared" si="7"/>
        <v>22</v>
      </c>
      <c r="B117" s="59"/>
      <c r="C117" s="31" t="s">
        <v>1202</v>
      </c>
      <c r="D117" s="31" t="s">
        <v>1203</v>
      </c>
      <c r="E117" s="31"/>
      <c r="F117" s="31" t="s">
        <v>141</v>
      </c>
      <c r="G117" s="31" t="s">
        <v>142</v>
      </c>
      <c r="H117" s="31">
        <v>256</v>
      </c>
      <c r="I117" s="43"/>
      <c r="J117" s="31"/>
      <c r="K117" s="31"/>
      <c r="L117" s="87"/>
      <c r="M117" s="31"/>
      <c r="N117" s="3"/>
      <c r="O117" s="3"/>
      <c r="P117" s="3"/>
      <c r="Q117" s="3"/>
      <c r="R117" s="91"/>
      <c r="S117" s="3"/>
      <c r="T117" s="3"/>
      <c r="U117" s="31">
        <f t="shared" si="6"/>
        <v>22</v>
      </c>
      <c r="V117" s="59"/>
      <c r="W117" s="31" t="s">
        <v>1202</v>
      </c>
      <c r="X117" s="31" t="s">
        <v>1203</v>
      </c>
      <c r="Y117" s="31"/>
      <c r="Z117" s="31" t="s">
        <v>141</v>
      </c>
      <c r="AA117" s="31" t="s">
        <v>142</v>
      </c>
      <c r="AB117" s="31">
        <v>256</v>
      </c>
      <c r="AC117" s="43"/>
      <c r="AD117" s="31"/>
      <c r="AE117" s="31"/>
      <c r="AF117" s="87"/>
      <c r="AG117" s="31"/>
      <c r="AH117" s="3"/>
      <c r="AI117" s="3"/>
      <c r="AJ117" s="3"/>
      <c r="AK117" s="3"/>
    </row>
    <row r="118" s="2" customFormat="1" spans="1:37">
      <c r="A118" s="31">
        <f t="shared" si="7"/>
        <v>23</v>
      </c>
      <c r="B118" s="59"/>
      <c r="C118" s="31" t="s">
        <v>1204</v>
      </c>
      <c r="D118" s="31" t="s">
        <v>1205</v>
      </c>
      <c r="E118" s="31"/>
      <c r="F118" s="31" t="s">
        <v>141</v>
      </c>
      <c r="G118" s="31" t="s">
        <v>142</v>
      </c>
      <c r="H118" s="31">
        <v>256</v>
      </c>
      <c r="I118" s="43"/>
      <c r="J118" s="31"/>
      <c r="K118" s="31"/>
      <c r="L118" s="87"/>
      <c r="M118" s="31"/>
      <c r="N118" s="3"/>
      <c r="O118" s="3"/>
      <c r="P118" s="3"/>
      <c r="Q118" s="3"/>
      <c r="R118" s="91"/>
      <c r="S118" s="3"/>
      <c r="T118" s="3"/>
      <c r="U118" s="31">
        <f t="shared" si="6"/>
        <v>23</v>
      </c>
      <c r="V118" s="59"/>
      <c r="W118" s="31" t="s">
        <v>1204</v>
      </c>
      <c r="X118" s="31" t="s">
        <v>1205</v>
      </c>
      <c r="Y118" s="31"/>
      <c r="Z118" s="31" t="s">
        <v>141</v>
      </c>
      <c r="AA118" s="31" t="s">
        <v>142</v>
      </c>
      <c r="AB118" s="31">
        <v>256</v>
      </c>
      <c r="AC118" s="43"/>
      <c r="AD118" s="31"/>
      <c r="AE118" s="31"/>
      <c r="AF118" s="87"/>
      <c r="AG118" s="31"/>
      <c r="AH118" s="3"/>
      <c r="AI118" s="3"/>
      <c r="AJ118" s="3"/>
      <c r="AK118" s="3"/>
    </row>
    <row r="119" s="2" customFormat="1" spans="1:37">
      <c r="A119" s="31">
        <f t="shared" si="7"/>
        <v>24</v>
      </c>
      <c r="B119" s="59"/>
      <c r="C119" s="31" t="s">
        <v>1206</v>
      </c>
      <c r="D119" s="31" t="s">
        <v>1207</v>
      </c>
      <c r="E119" s="31"/>
      <c r="F119" s="31" t="s">
        <v>141</v>
      </c>
      <c r="G119" s="31" t="s">
        <v>142</v>
      </c>
      <c r="H119" s="31">
        <v>256</v>
      </c>
      <c r="I119" s="43"/>
      <c r="J119" s="31"/>
      <c r="K119" s="31"/>
      <c r="L119" s="87"/>
      <c r="M119" s="31"/>
      <c r="N119" s="3"/>
      <c r="O119" s="3"/>
      <c r="P119" s="3"/>
      <c r="Q119" s="3"/>
      <c r="R119" s="91"/>
      <c r="S119" s="3"/>
      <c r="T119" s="3"/>
      <c r="U119" s="31">
        <f t="shared" si="6"/>
        <v>24</v>
      </c>
      <c r="V119" s="59"/>
      <c r="W119" s="31" t="s">
        <v>1206</v>
      </c>
      <c r="X119" s="31" t="s">
        <v>1207</v>
      </c>
      <c r="Y119" s="31"/>
      <c r="Z119" s="31" t="s">
        <v>141</v>
      </c>
      <c r="AA119" s="31" t="s">
        <v>142</v>
      </c>
      <c r="AB119" s="31">
        <v>256</v>
      </c>
      <c r="AC119" s="43"/>
      <c r="AD119" s="31"/>
      <c r="AE119" s="31"/>
      <c r="AF119" s="87"/>
      <c r="AG119" s="31"/>
      <c r="AH119" s="3"/>
      <c r="AI119" s="3"/>
      <c r="AJ119" s="3"/>
      <c r="AK119" s="3"/>
    </row>
    <row r="120" s="2" customFormat="1" spans="1:37">
      <c r="A120" s="31">
        <f t="shared" si="7"/>
        <v>25</v>
      </c>
      <c r="B120" s="59"/>
      <c r="C120" s="31" t="s">
        <v>1208</v>
      </c>
      <c r="D120" s="31" t="s">
        <v>1209</v>
      </c>
      <c r="E120" s="31"/>
      <c r="F120" s="31" t="s">
        <v>141</v>
      </c>
      <c r="G120" s="31" t="s">
        <v>142</v>
      </c>
      <c r="H120" s="31">
        <v>256</v>
      </c>
      <c r="I120" s="43"/>
      <c r="J120" s="31"/>
      <c r="K120" s="31"/>
      <c r="L120" s="87"/>
      <c r="M120" s="31"/>
      <c r="N120" s="3"/>
      <c r="O120" s="3"/>
      <c r="P120" s="3"/>
      <c r="Q120" s="3"/>
      <c r="R120" s="91"/>
      <c r="S120" s="3"/>
      <c r="T120" s="3"/>
      <c r="U120" s="31">
        <f t="shared" si="6"/>
        <v>25</v>
      </c>
      <c r="V120" s="59"/>
      <c r="W120" s="31" t="s">
        <v>1208</v>
      </c>
      <c r="X120" s="31" t="s">
        <v>1209</v>
      </c>
      <c r="Y120" s="31"/>
      <c r="Z120" s="31" t="s">
        <v>141</v>
      </c>
      <c r="AA120" s="31" t="s">
        <v>142</v>
      </c>
      <c r="AB120" s="31">
        <v>256</v>
      </c>
      <c r="AC120" s="43"/>
      <c r="AD120" s="31"/>
      <c r="AE120" s="31"/>
      <c r="AF120" s="87"/>
      <c r="AG120" s="31"/>
      <c r="AH120" s="3"/>
      <c r="AI120" s="3"/>
      <c r="AJ120" s="3"/>
      <c r="AK120" s="3"/>
    </row>
    <row r="121" s="2" customFormat="1" spans="1:37">
      <c r="A121" s="31">
        <f t="shared" si="7"/>
        <v>26</v>
      </c>
      <c r="B121" s="59"/>
      <c r="C121" s="31" t="s">
        <v>1210</v>
      </c>
      <c r="D121" s="31" t="s">
        <v>1211</v>
      </c>
      <c r="E121" s="31"/>
      <c r="F121" s="31" t="s">
        <v>141</v>
      </c>
      <c r="G121" s="31" t="s">
        <v>142</v>
      </c>
      <c r="H121" s="31">
        <v>256</v>
      </c>
      <c r="I121" s="43"/>
      <c r="J121" s="31"/>
      <c r="K121" s="31"/>
      <c r="L121" s="87"/>
      <c r="M121" s="31"/>
      <c r="N121" s="3"/>
      <c r="O121" s="3"/>
      <c r="P121" s="3"/>
      <c r="Q121" s="3"/>
      <c r="R121" s="91"/>
      <c r="S121" s="3"/>
      <c r="T121" s="3"/>
      <c r="U121" s="31">
        <f t="shared" si="6"/>
        <v>26</v>
      </c>
      <c r="V121" s="59"/>
      <c r="W121" s="31" t="s">
        <v>1210</v>
      </c>
      <c r="X121" s="31" t="s">
        <v>1211</v>
      </c>
      <c r="Y121" s="31"/>
      <c r="Z121" s="31" t="s">
        <v>141</v>
      </c>
      <c r="AA121" s="31" t="s">
        <v>142</v>
      </c>
      <c r="AB121" s="31">
        <v>256</v>
      </c>
      <c r="AC121" s="43"/>
      <c r="AD121" s="31"/>
      <c r="AE121" s="31"/>
      <c r="AF121" s="87"/>
      <c r="AG121" s="31"/>
      <c r="AH121" s="3"/>
      <c r="AI121" s="3"/>
      <c r="AJ121" s="3"/>
      <c r="AK121" s="3"/>
    </row>
    <row r="122" s="2" customFormat="1" spans="1:37">
      <c r="A122" s="31">
        <f t="shared" si="7"/>
        <v>27</v>
      </c>
      <c r="B122" s="59"/>
      <c r="C122" s="31" t="s">
        <v>1212</v>
      </c>
      <c r="D122" s="31" t="s">
        <v>1213</v>
      </c>
      <c r="E122" s="31"/>
      <c r="F122" s="31" t="s">
        <v>141</v>
      </c>
      <c r="G122" s="31" t="s">
        <v>142</v>
      </c>
      <c r="H122" s="31">
        <v>256</v>
      </c>
      <c r="I122" s="43"/>
      <c r="J122" s="31"/>
      <c r="K122" s="31"/>
      <c r="L122" s="87"/>
      <c r="M122" s="31"/>
      <c r="N122" s="3"/>
      <c r="O122" s="3"/>
      <c r="P122" s="3"/>
      <c r="Q122" s="3"/>
      <c r="R122" s="91"/>
      <c r="S122" s="3"/>
      <c r="T122" s="3"/>
      <c r="U122" s="31">
        <f t="shared" si="6"/>
        <v>27</v>
      </c>
      <c r="V122" s="59"/>
      <c r="W122" s="31" t="s">
        <v>1212</v>
      </c>
      <c r="X122" s="31" t="s">
        <v>1213</v>
      </c>
      <c r="Y122" s="31"/>
      <c r="Z122" s="31" t="s">
        <v>141</v>
      </c>
      <c r="AA122" s="31" t="s">
        <v>142</v>
      </c>
      <c r="AB122" s="31">
        <v>256</v>
      </c>
      <c r="AC122" s="43"/>
      <c r="AD122" s="31"/>
      <c r="AE122" s="31"/>
      <c r="AF122" s="87"/>
      <c r="AG122" s="31"/>
      <c r="AH122" s="3"/>
      <c r="AI122" s="3"/>
      <c r="AJ122" s="3"/>
      <c r="AK122" s="3"/>
    </row>
    <row r="123" s="2" customFormat="1" spans="1:37">
      <c r="A123" s="31">
        <f t="shared" si="7"/>
        <v>28</v>
      </c>
      <c r="B123" s="59"/>
      <c r="C123" s="31" t="s">
        <v>1214</v>
      </c>
      <c r="D123" s="31" t="s">
        <v>1215</v>
      </c>
      <c r="E123" s="31"/>
      <c r="F123" s="31" t="s">
        <v>141</v>
      </c>
      <c r="G123" s="31" t="s">
        <v>142</v>
      </c>
      <c r="H123" s="31">
        <v>256</v>
      </c>
      <c r="I123" s="43"/>
      <c r="J123" s="31"/>
      <c r="K123" s="31"/>
      <c r="L123" s="87"/>
      <c r="M123" s="31"/>
      <c r="N123" s="3"/>
      <c r="O123" s="3"/>
      <c r="P123" s="3"/>
      <c r="Q123" s="3"/>
      <c r="R123" s="91"/>
      <c r="S123" s="3"/>
      <c r="T123" s="3"/>
      <c r="U123" s="31">
        <f t="shared" si="6"/>
        <v>28</v>
      </c>
      <c r="V123" s="59"/>
      <c r="W123" s="31" t="s">
        <v>1214</v>
      </c>
      <c r="X123" s="31" t="s">
        <v>1215</v>
      </c>
      <c r="Y123" s="31"/>
      <c r="Z123" s="31" t="s">
        <v>141</v>
      </c>
      <c r="AA123" s="31" t="s">
        <v>142</v>
      </c>
      <c r="AB123" s="31">
        <v>256</v>
      </c>
      <c r="AC123" s="43"/>
      <c r="AD123" s="31"/>
      <c r="AE123" s="31"/>
      <c r="AF123" s="87"/>
      <c r="AG123" s="31"/>
      <c r="AH123" s="3"/>
      <c r="AI123" s="3"/>
      <c r="AJ123" s="3"/>
      <c r="AK123" s="3"/>
    </row>
    <row r="124" s="2" customFormat="1" spans="1:37">
      <c r="A124" s="31">
        <f t="shared" si="7"/>
        <v>29</v>
      </c>
      <c r="B124" s="59"/>
      <c r="C124" s="31" t="s">
        <v>1216</v>
      </c>
      <c r="D124" s="31" t="s">
        <v>1217</v>
      </c>
      <c r="E124" s="31"/>
      <c r="F124" s="31" t="s">
        <v>141</v>
      </c>
      <c r="G124" s="31" t="s">
        <v>142</v>
      </c>
      <c r="H124" s="31">
        <v>256</v>
      </c>
      <c r="I124" s="43"/>
      <c r="J124" s="31"/>
      <c r="K124" s="31"/>
      <c r="L124" s="87"/>
      <c r="M124" s="31"/>
      <c r="N124" s="3"/>
      <c r="O124" s="3"/>
      <c r="P124" s="3"/>
      <c r="Q124" s="3"/>
      <c r="R124" s="91"/>
      <c r="S124" s="3"/>
      <c r="T124" s="3"/>
      <c r="U124" s="31">
        <f t="shared" si="6"/>
        <v>29</v>
      </c>
      <c r="V124" s="59"/>
      <c r="W124" s="31" t="s">
        <v>1216</v>
      </c>
      <c r="X124" s="31" t="s">
        <v>1217</v>
      </c>
      <c r="Y124" s="31"/>
      <c r="Z124" s="31" t="s">
        <v>141</v>
      </c>
      <c r="AA124" s="31" t="s">
        <v>142</v>
      </c>
      <c r="AB124" s="31">
        <v>256</v>
      </c>
      <c r="AC124" s="43"/>
      <c r="AD124" s="31"/>
      <c r="AE124" s="31"/>
      <c r="AF124" s="87"/>
      <c r="AG124" s="31"/>
      <c r="AH124" s="3"/>
      <c r="AI124" s="3"/>
      <c r="AJ124" s="3"/>
      <c r="AK124" s="3"/>
    </row>
    <row r="125" s="2" customFormat="1" spans="1:37">
      <c r="A125" s="31">
        <f t="shared" si="7"/>
        <v>30</v>
      </c>
      <c r="B125" s="59"/>
      <c r="C125" s="31" t="s">
        <v>1218</v>
      </c>
      <c r="D125" s="31" t="s">
        <v>1219</v>
      </c>
      <c r="E125" s="31"/>
      <c r="F125" s="31" t="s">
        <v>141</v>
      </c>
      <c r="G125" s="31" t="s">
        <v>142</v>
      </c>
      <c r="H125" s="31">
        <v>256</v>
      </c>
      <c r="I125" s="43"/>
      <c r="J125" s="31"/>
      <c r="K125" s="31"/>
      <c r="L125" s="87"/>
      <c r="M125" s="31"/>
      <c r="N125" s="3"/>
      <c r="O125" s="3"/>
      <c r="P125" s="3"/>
      <c r="Q125" s="3"/>
      <c r="R125" s="91"/>
      <c r="S125" s="3"/>
      <c r="T125" s="3"/>
      <c r="U125" s="31">
        <f t="shared" si="6"/>
        <v>30</v>
      </c>
      <c r="V125" s="59"/>
      <c r="W125" s="31" t="s">
        <v>1218</v>
      </c>
      <c r="X125" s="31" t="s">
        <v>1219</v>
      </c>
      <c r="Y125" s="31"/>
      <c r="Z125" s="31" t="s">
        <v>141</v>
      </c>
      <c r="AA125" s="31" t="s">
        <v>142</v>
      </c>
      <c r="AB125" s="31">
        <v>256</v>
      </c>
      <c r="AC125" s="43"/>
      <c r="AD125" s="31"/>
      <c r="AE125" s="31"/>
      <c r="AF125" s="87"/>
      <c r="AG125" s="31"/>
      <c r="AH125" s="3"/>
      <c r="AI125" s="3"/>
      <c r="AJ125" s="3"/>
      <c r="AK125" s="3"/>
    </row>
    <row r="126" s="2" customFormat="1" spans="1:37">
      <c r="A126" s="31">
        <f t="shared" si="7"/>
        <v>31</v>
      </c>
      <c r="B126" s="59"/>
      <c r="C126" s="31" t="s">
        <v>1220</v>
      </c>
      <c r="D126" s="31" t="s">
        <v>1221</v>
      </c>
      <c r="E126" s="31"/>
      <c r="F126" s="31" t="s">
        <v>141</v>
      </c>
      <c r="G126" s="31" t="s">
        <v>142</v>
      </c>
      <c r="H126" s="31">
        <v>256</v>
      </c>
      <c r="I126" s="43"/>
      <c r="J126" s="31"/>
      <c r="K126" s="31"/>
      <c r="L126" s="87"/>
      <c r="M126" s="31"/>
      <c r="N126" s="3"/>
      <c r="O126" s="3"/>
      <c r="P126" s="3"/>
      <c r="Q126" s="3"/>
      <c r="R126" s="91"/>
      <c r="S126" s="3"/>
      <c r="T126" s="3"/>
      <c r="U126" s="31">
        <f t="shared" si="6"/>
        <v>31</v>
      </c>
      <c r="V126" s="59"/>
      <c r="W126" s="31" t="s">
        <v>1220</v>
      </c>
      <c r="X126" s="31" t="s">
        <v>1221</v>
      </c>
      <c r="Y126" s="31"/>
      <c r="Z126" s="31" t="s">
        <v>141</v>
      </c>
      <c r="AA126" s="31" t="s">
        <v>142</v>
      </c>
      <c r="AB126" s="31">
        <v>256</v>
      </c>
      <c r="AC126" s="43"/>
      <c r="AD126" s="31"/>
      <c r="AE126" s="31"/>
      <c r="AF126" s="87"/>
      <c r="AG126" s="31"/>
      <c r="AH126" s="3"/>
      <c r="AI126" s="3"/>
      <c r="AJ126" s="3"/>
      <c r="AK126" s="3"/>
    </row>
    <row r="127" s="2" customFormat="1" spans="1:37">
      <c r="A127" s="31">
        <f t="shared" si="7"/>
        <v>32</v>
      </c>
      <c r="B127" s="59"/>
      <c r="C127" s="31" t="s">
        <v>1222</v>
      </c>
      <c r="D127" s="31" t="s">
        <v>1223</v>
      </c>
      <c r="E127" s="31"/>
      <c r="F127" s="31" t="s">
        <v>141</v>
      </c>
      <c r="G127" s="31" t="s">
        <v>142</v>
      </c>
      <c r="H127" s="31">
        <v>256</v>
      </c>
      <c r="I127" s="43"/>
      <c r="J127" s="31"/>
      <c r="K127" s="31"/>
      <c r="L127" s="87"/>
      <c r="M127" s="31"/>
      <c r="N127" s="3"/>
      <c r="O127" s="3"/>
      <c r="P127" s="3"/>
      <c r="Q127" s="3"/>
      <c r="R127" s="91"/>
      <c r="S127" s="3"/>
      <c r="T127" s="3"/>
      <c r="U127" s="31">
        <f t="shared" si="6"/>
        <v>32</v>
      </c>
      <c r="V127" s="59"/>
      <c r="W127" s="31" t="s">
        <v>1222</v>
      </c>
      <c r="X127" s="31" t="s">
        <v>1223</v>
      </c>
      <c r="Y127" s="31"/>
      <c r="Z127" s="31" t="s">
        <v>141</v>
      </c>
      <c r="AA127" s="31" t="s">
        <v>142</v>
      </c>
      <c r="AB127" s="31">
        <v>256</v>
      </c>
      <c r="AC127" s="43"/>
      <c r="AD127" s="31"/>
      <c r="AE127" s="31"/>
      <c r="AF127" s="87"/>
      <c r="AG127" s="31"/>
      <c r="AH127" s="3"/>
      <c r="AI127" s="3"/>
      <c r="AJ127" s="3"/>
      <c r="AK127" s="3"/>
    </row>
    <row r="128" s="2" customFormat="1" spans="1:37">
      <c r="A128" s="31">
        <f t="shared" si="7"/>
        <v>33</v>
      </c>
      <c r="B128" s="59"/>
      <c r="C128" s="31" t="s">
        <v>1224</v>
      </c>
      <c r="D128" s="31" t="s">
        <v>1225</v>
      </c>
      <c r="E128" s="31"/>
      <c r="F128" s="31" t="s">
        <v>141</v>
      </c>
      <c r="G128" s="31" t="s">
        <v>142</v>
      </c>
      <c r="H128" s="31">
        <v>256</v>
      </c>
      <c r="I128" s="43"/>
      <c r="J128" s="31"/>
      <c r="K128" s="31"/>
      <c r="L128" s="87"/>
      <c r="M128" s="31"/>
      <c r="N128" s="3"/>
      <c r="O128" s="3"/>
      <c r="P128" s="3"/>
      <c r="Q128" s="3"/>
      <c r="R128" s="91"/>
      <c r="S128" s="3"/>
      <c r="T128" s="3"/>
      <c r="U128" s="31">
        <f t="shared" si="6"/>
        <v>33</v>
      </c>
      <c r="V128" s="59"/>
      <c r="W128" s="31" t="s">
        <v>1224</v>
      </c>
      <c r="X128" s="31" t="s">
        <v>1225</v>
      </c>
      <c r="Y128" s="31"/>
      <c r="Z128" s="31" t="s">
        <v>141</v>
      </c>
      <c r="AA128" s="31" t="s">
        <v>142</v>
      </c>
      <c r="AB128" s="31">
        <v>256</v>
      </c>
      <c r="AC128" s="43"/>
      <c r="AD128" s="31"/>
      <c r="AE128" s="31"/>
      <c r="AF128" s="87"/>
      <c r="AG128" s="31"/>
      <c r="AH128" s="3"/>
      <c r="AI128" s="3"/>
      <c r="AJ128" s="3"/>
      <c r="AK128" s="3"/>
    </row>
    <row r="129" s="2" customFormat="1" spans="1:37">
      <c r="A129" s="31">
        <f t="shared" si="7"/>
        <v>34</v>
      </c>
      <c r="B129" s="59"/>
      <c r="C129" s="31" t="s">
        <v>1226</v>
      </c>
      <c r="D129" s="31" t="s">
        <v>1227</v>
      </c>
      <c r="E129" s="31"/>
      <c r="F129" s="31" t="s">
        <v>141</v>
      </c>
      <c r="G129" s="31" t="s">
        <v>142</v>
      </c>
      <c r="H129" s="31">
        <v>256</v>
      </c>
      <c r="I129" s="43"/>
      <c r="J129" s="31"/>
      <c r="K129" s="31"/>
      <c r="L129" s="87"/>
      <c r="M129" s="31"/>
      <c r="N129" s="3"/>
      <c r="O129" s="3"/>
      <c r="P129" s="3"/>
      <c r="Q129" s="3"/>
      <c r="R129" s="91"/>
      <c r="S129" s="3"/>
      <c r="T129" s="3"/>
      <c r="U129" s="31">
        <f t="shared" si="6"/>
        <v>34</v>
      </c>
      <c r="V129" s="59"/>
      <c r="W129" s="31" t="s">
        <v>1226</v>
      </c>
      <c r="X129" s="31" t="s">
        <v>1227</v>
      </c>
      <c r="Y129" s="31"/>
      <c r="Z129" s="31" t="s">
        <v>141</v>
      </c>
      <c r="AA129" s="31" t="s">
        <v>142</v>
      </c>
      <c r="AB129" s="31">
        <v>256</v>
      </c>
      <c r="AC129" s="43"/>
      <c r="AD129" s="31"/>
      <c r="AE129" s="31"/>
      <c r="AF129" s="87"/>
      <c r="AG129" s="31"/>
      <c r="AH129" s="3"/>
      <c r="AI129" s="3"/>
      <c r="AJ129" s="3"/>
      <c r="AK129" s="3"/>
    </row>
    <row r="130" s="2" customFormat="1" ht="22.5" spans="1:37">
      <c r="A130" s="31">
        <f t="shared" si="7"/>
        <v>35</v>
      </c>
      <c r="B130" s="59"/>
      <c r="C130" s="31" t="s">
        <v>1228</v>
      </c>
      <c r="D130" s="31" t="s">
        <v>1229</v>
      </c>
      <c r="E130" s="31"/>
      <c r="F130" s="31" t="s">
        <v>1027</v>
      </c>
      <c r="G130" s="31" t="s">
        <v>517</v>
      </c>
      <c r="H130" s="31" t="s">
        <v>8</v>
      </c>
      <c r="I130" s="43"/>
      <c r="J130" s="31"/>
      <c r="K130" s="31"/>
      <c r="L130" s="87"/>
      <c r="M130" s="31"/>
      <c r="N130" s="3"/>
      <c r="O130" s="3"/>
      <c r="P130" s="3"/>
      <c r="Q130" s="3"/>
      <c r="R130" s="91"/>
      <c r="S130" s="3"/>
      <c r="T130" s="3"/>
      <c r="U130" s="31">
        <f t="shared" si="6"/>
        <v>35</v>
      </c>
      <c r="V130" s="59"/>
      <c r="W130" s="31" t="s">
        <v>1228</v>
      </c>
      <c r="X130" s="31" t="s">
        <v>1229</v>
      </c>
      <c r="Y130" s="31"/>
      <c r="Z130" s="31" t="s">
        <v>1027</v>
      </c>
      <c r="AA130" s="31" t="s">
        <v>517</v>
      </c>
      <c r="AB130" s="31" t="s">
        <v>8</v>
      </c>
      <c r="AC130" s="43"/>
      <c r="AD130" s="31"/>
      <c r="AE130" s="31"/>
      <c r="AF130" s="87"/>
      <c r="AG130" s="31"/>
      <c r="AH130" s="3"/>
      <c r="AI130" s="3"/>
      <c r="AJ130" s="3"/>
      <c r="AK130" s="3"/>
    </row>
    <row r="131" s="2" customFormat="1" ht="22.5" spans="1:37">
      <c r="A131" s="31">
        <f t="shared" si="7"/>
        <v>36</v>
      </c>
      <c r="B131" s="59"/>
      <c r="C131" s="31" t="s">
        <v>1230</v>
      </c>
      <c r="D131" s="31" t="s">
        <v>1231</v>
      </c>
      <c r="E131" s="31"/>
      <c r="F131" s="31" t="s">
        <v>1027</v>
      </c>
      <c r="G131" s="31" t="s">
        <v>517</v>
      </c>
      <c r="H131" s="31" t="s">
        <v>8</v>
      </c>
      <c r="I131" s="43"/>
      <c r="J131" s="31"/>
      <c r="K131" s="31"/>
      <c r="L131" s="87"/>
      <c r="M131" s="31"/>
      <c r="N131" s="3"/>
      <c r="O131" s="3"/>
      <c r="P131" s="3"/>
      <c r="Q131" s="3"/>
      <c r="R131" s="91"/>
      <c r="S131" s="3"/>
      <c r="T131" s="3"/>
      <c r="U131" s="31">
        <f t="shared" si="6"/>
        <v>36</v>
      </c>
      <c r="V131" s="59"/>
      <c r="W131" s="31" t="s">
        <v>1230</v>
      </c>
      <c r="X131" s="31" t="s">
        <v>1231</v>
      </c>
      <c r="Y131" s="31"/>
      <c r="Z131" s="31" t="s">
        <v>1027</v>
      </c>
      <c r="AA131" s="31" t="s">
        <v>517</v>
      </c>
      <c r="AB131" s="31" t="s">
        <v>8</v>
      </c>
      <c r="AC131" s="43"/>
      <c r="AD131" s="31"/>
      <c r="AE131" s="31"/>
      <c r="AF131" s="87"/>
      <c r="AG131" s="31"/>
      <c r="AH131" s="3"/>
      <c r="AI131" s="3"/>
      <c r="AJ131" s="3"/>
      <c r="AK131" s="3"/>
    </row>
    <row r="132" s="2" customFormat="1" ht="22.5" spans="1:37">
      <c r="A132" s="31">
        <f t="shared" si="7"/>
        <v>37</v>
      </c>
      <c r="B132" s="59"/>
      <c r="C132" s="31" t="s">
        <v>1232</v>
      </c>
      <c r="D132" s="31" t="s">
        <v>1233</v>
      </c>
      <c r="E132" s="31"/>
      <c r="F132" s="31" t="s">
        <v>1027</v>
      </c>
      <c r="G132" s="31" t="s">
        <v>517</v>
      </c>
      <c r="H132" s="31" t="s">
        <v>8</v>
      </c>
      <c r="I132" s="43"/>
      <c r="J132" s="31"/>
      <c r="K132" s="31"/>
      <c r="L132" s="87"/>
      <c r="M132" s="31"/>
      <c r="N132" s="3"/>
      <c r="O132" s="3"/>
      <c r="P132" s="3"/>
      <c r="Q132" s="3"/>
      <c r="R132" s="91"/>
      <c r="S132" s="3"/>
      <c r="T132" s="3"/>
      <c r="U132" s="31">
        <f t="shared" si="6"/>
        <v>37</v>
      </c>
      <c r="V132" s="59"/>
      <c r="W132" s="31" t="s">
        <v>1232</v>
      </c>
      <c r="X132" s="31" t="s">
        <v>1233</v>
      </c>
      <c r="Y132" s="31"/>
      <c r="Z132" s="31" t="s">
        <v>1027</v>
      </c>
      <c r="AA132" s="31" t="s">
        <v>517</v>
      </c>
      <c r="AB132" s="31" t="s">
        <v>8</v>
      </c>
      <c r="AC132" s="43"/>
      <c r="AD132" s="31"/>
      <c r="AE132" s="31"/>
      <c r="AF132" s="87"/>
      <c r="AG132" s="31"/>
      <c r="AH132" s="3"/>
      <c r="AI132" s="3"/>
      <c r="AJ132" s="3"/>
      <c r="AK132" s="3"/>
    </row>
    <row r="133" s="2" customFormat="1" ht="22.5" spans="1:37">
      <c r="A133" s="31">
        <f t="shared" si="7"/>
        <v>38</v>
      </c>
      <c r="B133" s="59"/>
      <c r="C133" s="31" t="s">
        <v>1234</v>
      </c>
      <c r="D133" s="31" t="s">
        <v>1235</v>
      </c>
      <c r="E133" s="31"/>
      <c r="F133" s="31" t="s">
        <v>1027</v>
      </c>
      <c r="G133" s="31" t="s">
        <v>517</v>
      </c>
      <c r="H133" s="31" t="s">
        <v>8</v>
      </c>
      <c r="I133" s="43"/>
      <c r="J133" s="31"/>
      <c r="K133" s="31"/>
      <c r="L133" s="87"/>
      <c r="M133" s="31"/>
      <c r="N133" s="3"/>
      <c r="O133" s="3"/>
      <c r="P133" s="3"/>
      <c r="Q133" s="3"/>
      <c r="R133" s="91"/>
      <c r="S133" s="3"/>
      <c r="T133" s="3"/>
      <c r="U133" s="31">
        <f t="shared" si="6"/>
        <v>38</v>
      </c>
      <c r="V133" s="59"/>
      <c r="W133" s="31" t="s">
        <v>1234</v>
      </c>
      <c r="X133" s="31" t="s">
        <v>1235</v>
      </c>
      <c r="Y133" s="31"/>
      <c r="Z133" s="31" t="s">
        <v>1027</v>
      </c>
      <c r="AA133" s="31" t="s">
        <v>517</v>
      </c>
      <c r="AB133" s="31" t="s">
        <v>8</v>
      </c>
      <c r="AC133" s="43"/>
      <c r="AD133" s="31"/>
      <c r="AE133" s="31"/>
      <c r="AF133" s="87"/>
      <c r="AG133" s="31"/>
      <c r="AH133" s="3"/>
      <c r="AI133" s="3"/>
      <c r="AJ133" s="3"/>
      <c r="AK133" s="3"/>
    </row>
    <row r="134" s="2" customFormat="1" ht="22.5" spans="1:37">
      <c r="A134" s="31">
        <f t="shared" si="7"/>
        <v>39</v>
      </c>
      <c r="B134" s="59"/>
      <c r="C134" s="31" t="s">
        <v>1236</v>
      </c>
      <c r="D134" s="31" t="s">
        <v>1237</v>
      </c>
      <c r="E134" s="31"/>
      <c r="F134" s="31" t="s">
        <v>1027</v>
      </c>
      <c r="G134" s="31" t="s">
        <v>517</v>
      </c>
      <c r="H134" s="31" t="s">
        <v>8</v>
      </c>
      <c r="I134" s="43"/>
      <c r="J134" s="31"/>
      <c r="K134" s="31"/>
      <c r="L134" s="87"/>
      <c r="M134" s="31"/>
      <c r="N134" s="3"/>
      <c r="O134" s="3"/>
      <c r="P134" s="3"/>
      <c r="Q134" s="3"/>
      <c r="R134" s="91"/>
      <c r="S134" s="3"/>
      <c r="T134" s="3"/>
      <c r="U134" s="31">
        <f t="shared" si="6"/>
        <v>39</v>
      </c>
      <c r="V134" s="59"/>
      <c r="W134" s="31" t="s">
        <v>1236</v>
      </c>
      <c r="X134" s="31" t="s">
        <v>1237</v>
      </c>
      <c r="Y134" s="31"/>
      <c r="Z134" s="31" t="s">
        <v>1027</v>
      </c>
      <c r="AA134" s="31" t="s">
        <v>517</v>
      </c>
      <c r="AB134" s="31" t="s">
        <v>8</v>
      </c>
      <c r="AC134" s="43"/>
      <c r="AD134" s="31"/>
      <c r="AE134" s="31"/>
      <c r="AF134" s="87"/>
      <c r="AG134" s="31"/>
      <c r="AH134" s="3"/>
      <c r="AI134" s="3"/>
      <c r="AJ134" s="3"/>
      <c r="AK134" s="3"/>
    </row>
    <row r="135" s="2" customFormat="1" ht="22.5" spans="1:37">
      <c r="A135" s="31">
        <f t="shared" si="7"/>
        <v>40</v>
      </c>
      <c r="B135" s="59"/>
      <c r="C135" s="31" t="s">
        <v>1238</v>
      </c>
      <c r="D135" s="31" t="s">
        <v>1239</v>
      </c>
      <c r="E135" s="31"/>
      <c r="F135" s="31" t="s">
        <v>1027</v>
      </c>
      <c r="G135" s="31" t="s">
        <v>517</v>
      </c>
      <c r="H135" s="31" t="s">
        <v>8</v>
      </c>
      <c r="I135" s="43"/>
      <c r="J135" s="31"/>
      <c r="K135" s="31"/>
      <c r="L135" s="87"/>
      <c r="M135" s="31"/>
      <c r="N135" s="3"/>
      <c r="O135" s="3"/>
      <c r="P135" s="3"/>
      <c r="Q135" s="3"/>
      <c r="R135" s="91"/>
      <c r="S135" s="3"/>
      <c r="T135" s="3"/>
      <c r="U135" s="31">
        <f t="shared" si="6"/>
        <v>40</v>
      </c>
      <c r="V135" s="59"/>
      <c r="W135" s="31" t="s">
        <v>1238</v>
      </c>
      <c r="X135" s="31" t="s">
        <v>1239</v>
      </c>
      <c r="Y135" s="31"/>
      <c r="Z135" s="31" t="s">
        <v>1027</v>
      </c>
      <c r="AA135" s="31" t="s">
        <v>517</v>
      </c>
      <c r="AB135" s="31" t="s">
        <v>8</v>
      </c>
      <c r="AC135" s="43"/>
      <c r="AD135" s="31"/>
      <c r="AE135" s="31"/>
      <c r="AF135" s="87"/>
      <c r="AG135" s="31"/>
      <c r="AH135" s="3"/>
      <c r="AI135" s="3"/>
      <c r="AJ135" s="3"/>
      <c r="AK135" s="3"/>
    </row>
    <row r="136" s="2" customFormat="1" ht="22.5" spans="1:37">
      <c r="A136" s="31">
        <f t="shared" si="7"/>
        <v>41</v>
      </c>
      <c r="B136" s="59"/>
      <c r="C136" s="31" t="s">
        <v>1240</v>
      </c>
      <c r="D136" s="31" t="s">
        <v>1241</v>
      </c>
      <c r="E136" s="31"/>
      <c r="F136" s="31" t="s">
        <v>1027</v>
      </c>
      <c r="G136" s="31" t="s">
        <v>517</v>
      </c>
      <c r="H136" s="31" t="s">
        <v>8</v>
      </c>
      <c r="I136" s="43"/>
      <c r="J136" s="31"/>
      <c r="K136" s="31"/>
      <c r="L136" s="87"/>
      <c r="M136" s="31"/>
      <c r="N136" s="3"/>
      <c r="O136" s="3"/>
      <c r="P136" s="3"/>
      <c r="Q136" s="3"/>
      <c r="R136" s="91"/>
      <c r="S136" s="3"/>
      <c r="T136" s="3"/>
      <c r="U136" s="31">
        <f t="shared" si="6"/>
        <v>41</v>
      </c>
      <c r="V136" s="59"/>
      <c r="W136" s="31" t="s">
        <v>1240</v>
      </c>
      <c r="X136" s="31" t="s">
        <v>1241</v>
      </c>
      <c r="Y136" s="31"/>
      <c r="Z136" s="31" t="s">
        <v>1027</v>
      </c>
      <c r="AA136" s="31" t="s">
        <v>517</v>
      </c>
      <c r="AB136" s="31" t="s">
        <v>8</v>
      </c>
      <c r="AC136" s="43"/>
      <c r="AD136" s="31"/>
      <c r="AE136" s="31"/>
      <c r="AF136" s="87"/>
      <c r="AG136" s="31"/>
      <c r="AH136" s="3"/>
      <c r="AI136" s="3"/>
      <c r="AJ136" s="3"/>
      <c r="AK136" s="3"/>
    </row>
    <row r="137" s="2" customFormat="1" ht="22.5" spans="1:37">
      <c r="A137" s="31">
        <f t="shared" si="7"/>
        <v>42</v>
      </c>
      <c r="B137" s="59"/>
      <c r="C137" s="31" t="s">
        <v>1242</v>
      </c>
      <c r="D137" s="31" t="s">
        <v>1243</v>
      </c>
      <c r="E137" s="31"/>
      <c r="F137" s="31" t="s">
        <v>1027</v>
      </c>
      <c r="G137" s="31" t="s">
        <v>517</v>
      </c>
      <c r="H137" s="31" t="s">
        <v>8</v>
      </c>
      <c r="I137" s="43"/>
      <c r="J137" s="31"/>
      <c r="K137" s="31"/>
      <c r="L137" s="87"/>
      <c r="M137" s="31"/>
      <c r="N137" s="3"/>
      <c r="O137" s="3"/>
      <c r="P137" s="3"/>
      <c r="Q137" s="3"/>
      <c r="R137" s="91"/>
      <c r="S137" s="3"/>
      <c r="T137" s="3"/>
      <c r="U137" s="31">
        <f t="shared" si="6"/>
        <v>42</v>
      </c>
      <c r="V137" s="59"/>
      <c r="W137" s="31" t="s">
        <v>1242</v>
      </c>
      <c r="X137" s="31" t="s">
        <v>1243</v>
      </c>
      <c r="Y137" s="31"/>
      <c r="Z137" s="31" t="s">
        <v>1027</v>
      </c>
      <c r="AA137" s="31" t="s">
        <v>517</v>
      </c>
      <c r="AB137" s="31" t="s">
        <v>8</v>
      </c>
      <c r="AC137" s="43"/>
      <c r="AD137" s="31"/>
      <c r="AE137" s="31"/>
      <c r="AF137" s="87"/>
      <c r="AG137" s="31"/>
      <c r="AH137" s="3"/>
      <c r="AI137" s="3"/>
      <c r="AJ137" s="3"/>
      <c r="AK137" s="3"/>
    </row>
    <row r="138" s="2" customFormat="1" ht="22.5" spans="1:37">
      <c r="A138" s="31">
        <f t="shared" si="7"/>
        <v>43</v>
      </c>
      <c r="B138" s="59"/>
      <c r="C138" s="31" t="s">
        <v>1244</v>
      </c>
      <c r="D138" s="31" t="s">
        <v>1245</v>
      </c>
      <c r="E138" s="31"/>
      <c r="F138" s="31" t="s">
        <v>1027</v>
      </c>
      <c r="G138" s="31" t="s">
        <v>517</v>
      </c>
      <c r="H138" s="31" t="s">
        <v>8</v>
      </c>
      <c r="I138" s="43"/>
      <c r="J138" s="31"/>
      <c r="K138" s="31"/>
      <c r="L138" s="87"/>
      <c r="M138" s="31"/>
      <c r="N138" s="3"/>
      <c r="O138" s="3"/>
      <c r="P138" s="3"/>
      <c r="Q138" s="3"/>
      <c r="R138" s="91"/>
      <c r="S138" s="3"/>
      <c r="T138" s="3"/>
      <c r="U138" s="31">
        <f t="shared" si="6"/>
        <v>43</v>
      </c>
      <c r="V138" s="59"/>
      <c r="W138" s="31" t="s">
        <v>1244</v>
      </c>
      <c r="X138" s="31" t="s">
        <v>1245</v>
      </c>
      <c r="Y138" s="31"/>
      <c r="Z138" s="31" t="s">
        <v>1027</v>
      </c>
      <c r="AA138" s="31" t="s">
        <v>517</v>
      </c>
      <c r="AB138" s="31" t="s">
        <v>8</v>
      </c>
      <c r="AC138" s="43"/>
      <c r="AD138" s="31"/>
      <c r="AE138" s="31"/>
      <c r="AF138" s="87"/>
      <c r="AG138" s="31"/>
      <c r="AH138" s="3"/>
      <c r="AI138" s="3"/>
      <c r="AJ138" s="3"/>
      <c r="AK138" s="3"/>
    </row>
    <row r="139" s="2" customFormat="1" ht="22.5" spans="1:37">
      <c r="A139" s="31">
        <f t="shared" si="7"/>
        <v>44</v>
      </c>
      <c r="B139" s="59"/>
      <c r="C139" s="31" t="s">
        <v>1246</v>
      </c>
      <c r="D139" s="31" t="s">
        <v>1247</v>
      </c>
      <c r="E139" s="31"/>
      <c r="F139" s="31" t="s">
        <v>1027</v>
      </c>
      <c r="G139" s="31" t="s">
        <v>517</v>
      </c>
      <c r="H139" s="31" t="s">
        <v>8</v>
      </c>
      <c r="I139" s="43"/>
      <c r="J139" s="31"/>
      <c r="K139" s="31"/>
      <c r="L139" s="87"/>
      <c r="M139" s="31"/>
      <c r="N139" s="3"/>
      <c r="O139" s="3"/>
      <c r="P139" s="3"/>
      <c r="Q139" s="3"/>
      <c r="R139" s="91"/>
      <c r="S139" s="3"/>
      <c r="T139" s="3"/>
      <c r="U139" s="31">
        <f t="shared" si="6"/>
        <v>44</v>
      </c>
      <c r="V139" s="59"/>
      <c r="W139" s="31" t="s">
        <v>1246</v>
      </c>
      <c r="X139" s="31" t="s">
        <v>1247</v>
      </c>
      <c r="Y139" s="31"/>
      <c r="Z139" s="31" t="s">
        <v>1027</v>
      </c>
      <c r="AA139" s="31" t="s">
        <v>517</v>
      </c>
      <c r="AB139" s="31" t="s">
        <v>8</v>
      </c>
      <c r="AC139" s="43"/>
      <c r="AD139" s="31"/>
      <c r="AE139" s="31"/>
      <c r="AF139" s="87"/>
      <c r="AG139" s="31"/>
      <c r="AH139" s="3"/>
      <c r="AI139" s="3"/>
      <c r="AJ139" s="3"/>
      <c r="AK139" s="3"/>
    </row>
    <row r="140" s="2" customFormat="1" spans="1:37">
      <c r="A140" s="31">
        <f t="shared" si="7"/>
        <v>45</v>
      </c>
      <c r="B140" s="59"/>
      <c r="C140" s="31" t="s">
        <v>1257</v>
      </c>
      <c r="D140" s="31" t="s">
        <v>1258</v>
      </c>
      <c r="E140" s="31"/>
      <c r="F140" s="31" t="s">
        <v>172</v>
      </c>
      <c r="G140" s="31" t="s">
        <v>173</v>
      </c>
      <c r="H140" s="31" t="s">
        <v>8</v>
      </c>
      <c r="I140" s="43"/>
      <c r="J140" s="31"/>
      <c r="K140" s="31"/>
      <c r="L140" s="87"/>
      <c r="M140" s="31"/>
      <c r="N140" s="3"/>
      <c r="O140" s="3"/>
      <c r="P140" s="3"/>
      <c r="Q140" s="3"/>
      <c r="R140" s="91"/>
      <c r="S140" s="3"/>
      <c r="T140" s="3"/>
      <c r="U140" s="31">
        <f t="shared" si="6"/>
        <v>45</v>
      </c>
      <c r="V140" s="59"/>
      <c r="W140" s="31" t="s">
        <v>1257</v>
      </c>
      <c r="X140" s="31" t="s">
        <v>1258</v>
      </c>
      <c r="Y140" s="31"/>
      <c r="Z140" s="31" t="s">
        <v>172</v>
      </c>
      <c r="AA140" s="31" t="s">
        <v>173</v>
      </c>
      <c r="AB140" s="31" t="s">
        <v>8</v>
      </c>
      <c r="AC140" s="43"/>
      <c r="AD140" s="31"/>
      <c r="AE140" s="31"/>
      <c r="AF140" s="87"/>
      <c r="AG140" s="31"/>
      <c r="AH140" s="3"/>
      <c r="AI140" s="3"/>
      <c r="AJ140" s="3"/>
      <c r="AK140" s="3"/>
    </row>
    <row r="141" s="2" customFormat="1" ht="22.5" spans="1:37">
      <c r="A141" s="31">
        <f t="shared" si="7"/>
        <v>46</v>
      </c>
      <c r="B141" s="59"/>
      <c r="C141" s="31" t="s">
        <v>304</v>
      </c>
      <c r="D141" s="31" t="s">
        <v>540</v>
      </c>
      <c r="E141" s="31" t="s">
        <v>1259</v>
      </c>
      <c r="F141" s="31" t="s">
        <v>301</v>
      </c>
      <c r="G141" s="31" t="s">
        <v>162</v>
      </c>
      <c r="H141" s="31" t="s">
        <v>8</v>
      </c>
      <c r="I141" s="43"/>
      <c r="J141" s="31"/>
      <c r="K141" s="31"/>
      <c r="L141" s="87" t="s">
        <v>415</v>
      </c>
      <c r="M141" s="31"/>
      <c r="N141" s="3"/>
      <c r="O141" s="3"/>
      <c r="P141" s="3"/>
      <c r="Q141" s="3"/>
      <c r="R141" s="91"/>
      <c r="S141" s="3"/>
      <c r="T141" s="3"/>
      <c r="U141" s="31">
        <f t="shared" si="6"/>
        <v>46</v>
      </c>
      <c r="V141" s="59"/>
      <c r="W141" s="31" t="s">
        <v>304</v>
      </c>
      <c r="X141" s="31" t="s">
        <v>540</v>
      </c>
      <c r="Y141" s="31" t="s">
        <v>1260</v>
      </c>
      <c r="Z141" s="31" t="s">
        <v>301</v>
      </c>
      <c r="AA141" s="31" t="s">
        <v>162</v>
      </c>
      <c r="AB141" s="31" t="s">
        <v>8</v>
      </c>
      <c r="AC141" s="43"/>
      <c r="AD141" s="31"/>
      <c r="AE141" s="31"/>
      <c r="AF141" s="87" t="s">
        <v>415</v>
      </c>
      <c r="AG141" s="31"/>
      <c r="AH141" s="3"/>
      <c r="AI141" s="3"/>
      <c r="AJ141" s="3"/>
      <c r="AK141" s="3"/>
    </row>
    <row r="142" s="2" customFormat="1" spans="1:37">
      <c r="A142" s="31">
        <f t="shared" si="7"/>
        <v>47</v>
      </c>
      <c r="B142" s="59"/>
      <c r="C142" s="31" t="s">
        <v>1261</v>
      </c>
      <c r="D142" s="31" t="s">
        <v>1262</v>
      </c>
      <c r="E142" s="31" t="s">
        <v>1263</v>
      </c>
      <c r="F142" s="31" t="s">
        <v>172</v>
      </c>
      <c r="G142" s="31" t="s">
        <v>173</v>
      </c>
      <c r="H142" s="31" t="s">
        <v>8</v>
      </c>
      <c r="I142" s="43"/>
      <c r="J142" s="31"/>
      <c r="K142" s="31"/>
      <c r="L142" s="87"/>
      <c r="M142" s="31"/>
      <c r="N142" s="3"/>
      <c r="O142" s="3"/>
      <c r="P142" s="3"/>
      <c r="Q142" s="3"/>
      <c r="R142" s="91"/>
      <c r="S142" s="3"/>
      <c r="T142" s="3"/>
      <c r="U142" s="31">
        <f t="shared" si="6"/>
        <v>47</v>
      </c>
      <c r="V142" s="59"/>
      <c r="W142" s="31" t="s">
        <v>1261</v>
      </c>
      <c r="X142" s="31" t="s">
        <v>1262</v>
      </c>
      <c r="Y142" s="31" t="s">
        <v>1264</v>
      </c>
      <c r="Z142" s="31" t="s">
        <v>172</v>
      </c>
      <c r="AA142" s="31" t="s">
        <v>173</v>
      </c>
      <c r="AB142" s="31" t="s">
        <v>8</v>
      </c>
      <c r="AC142" s="43"/>
      <c r="AD142" s="31"/>
      <c r="AE142" s="31"/>
      <c r="AF142" s="87"/>
      <c r="AG142" s="31"/>
      <c r="AH142" s="3"/>
      <c r="AI142" s="3"/>
      <c r="AJ142" s="3"/>
      <c r="AK142" s="3"/>
    </row>
    <row r="143" s="2" customFormat="1" spans="1:37">
      <c r="A143" s="31">
        <f t="shared" si="7"/>
        <v>48</v>
      </c>
      <c r="B143" s="59"/>
      <c r="C143" s="31" t="s">
        <v>1265</v>
      </c>
      <c r="D143" s="31" t="s">
        <v>1266</v>
      </c>
      <c r="E143" s="31"/>
      <c r="F143" s="31" t="s">
        <v>141</v>
      </c>
      <c r="G143" s="31" t="s">
        <v>142</v>
      </c>
      <c r="H143" s="31">
        <v>64</v>
      </c>
      <c r="I143" s="43"/>
      <c r="J143" s="31"/>
      <c r="K143" s="31"/>
      <c r="L143" s="87"/>
      <c r="M143" s="31"/>
      <c r="N143" s="3"/>
      <c r="O143" s="3"/>
      <c r="P143" s="3"/>
      <c r="Q143" s="3"/>
      <c r="R143" s="91"/>
      <c r="S143" s="3"/>
      <c r="T143" s="3"/>
      <c r="U143" s="31">
        <f t="shared" si="6"/>
        <v>48</v>
      </c>
      <c r="V143" s="59"/>
      <c r="W143" s="31" t="s">
        <v>1265</v>
      </c>
      <c r="X143" s="31" t="s">
        <v>1266</v>
      </c>
      <c r="Y143" s="31"/>
      <c r="Z143" s="31" t="s">
        <v>141</v>
      </c>
      <c r="AA143" s="31" t="s">
        <v>142</v>
      </c>
      <c r="AB143" s="31">
        <v>64</v>
      </c>
      <c r="AC143" s="43"/>
      <c r="AD143" s="31"/>
      <c r="AE143" s="31"/>
      <c r="AF143" s="87"/>
      <c r="AG143" s="31"/>
      <c r="AH143" s="3"/>
      <c r="AI143" s="3"/>
      <c r="AJ143" s="3"/>
      <c r="AK143" s="3"/>
    </row>
    <row r="144" s="2" customFormat="1" ht="22.5" spans="1:33">
      <c r="A144" s="33">
        <f t="shared" si="7"/>
        <v>49</v>
      </c>
      <c r="B144" s="34"/>
      <c r="C144" s="33" t="s">
        <v>150</v>
      </c>
      <c r="D144" s="35" t="s">
        <v>151</v>
      </c>
      <c r="E144" s="33" t="s">
        <v>152</v>
      </c>
      <c r="F144" s="33" t="s">
        <v>153</v>
      </c>
      <c r="G144" s="33" t="s">
        <v>154</v>
      </c>
      <c r="H144" s="33" t="s">
        <v>8</v>
      </c>
      <c r="I144" s="45" t="s">
        <v>22</v>
      </c>
      <c r="J144" s="225" t="s">
        <v>155</v>
      </c>
      <c r="K144" s="33"/>
      <c r="L144" s="33"/>
      <c r="M144" s="33" t="s">
        <v>156</v>
      </c>
      <c r="R144" s="70"/>
      <c r="U144" s="76">
        <f t="shared" si="6"/>
        <v>49</v>
      </c>
      <c r="V144" s="77"/>
      <c r="W144" s="76" t="s">
        <v>150</v>
      </c>
      <c r="X144" s="78" t="s">
        <v>151</v>
      </c>
      <c r="Y144" s="76" t="s">
        <v>644</v>
      </c>
      <c r="Z144" s="76" t="s">
        <v>153</v>
      </c>
      <c r="AA144" s="76" t="s">
        <v>154</v>
      </c>
      <c r="AB144" s="76" t="s">
        <v>8</v>
      </c>
      <c r="AC144" s="81" t="s">
        <v>22</v>
      </c>
      <c r="AD144" s="230" t="s">
        <v>155</v>
      </c>
      <c r="AE144" s="76"/>
      <c r="AF144" s="76"/>
      <c r="AG144" s="76" t="s">
        <v>617</v>
      </c>
    </row>
    <row r="145" s="2" customFormat="1" ht="22.5" spans="1:33">
      <c r="A145" s="33">
        <f t="shared" si="7"/>
        <v>50</v>
      </c>
      <c r="B145" s="34"/>
      <c r="C145" s="33" t="s">
        <v>159</v>
      </c>
      <c r="D145" s="35" t="s">
        <v>160</v>
      </c>
      <c r="E145" s="33" t="s">
        <v>161</v>
      </c>
      <c r="F145" s="33" t="s">
        <v>153</v>
      </c>
      <c r="G145" s="33" t="s">
        <v>162</v>
      </c>
      <c r="H145" s="33"/>
      <c r="I145" s="45" t="s">
        <v>22</v>
      </c>
      <c r="J145" s="33">
        <v>0</v>
      </c>
      <c r="K145" s="33"/>
      <c r="L145" s="33"/>
      <c r="M145" s="33"/>
      <c r="R145" s="70"/>
      <c r="U145" s="76">
        <f t="shared" si="6"/>
        <v>50</v>
      </c>
      <c r="V145" s="77"/>
      <c r="W145" s="76" t="s">
        <v>159</v>
      </c>
      <c r="X145" s="78" t="s">
        <v>160</v>
      </c>
      <c r="Y145" s="76" t="s">
        <v>163</v>
      </c>
      <c r="Z145" s="76" t="s">
        <v>153</v>
      </c>
      <c r="AA145" s="76" t="s">
        <v>162</v>
      </c>
      <c r="AB145" s="76"/>
      <c r="AC145" s="81" t="s">
        <v>22</v>
      </c>
      <c r="AD145" s="76">
        <v>0</v>
      </c>
      <c r="AE145" s="76"/>
      <c r="AF145" s="76"/>
      <c r="AG145" s="76"/>
    </row>
    <row r="146" s="2" customFormat="1" spans="1:33">
      <c r="A146" s="33">
        <f t="shared" si="7"/>
        <v>51</v>
      </c>
      <c r="B146" s="34"/>
      <c r="C146" s="33" t="s">
        <v>164</v>
      </c>
      <c r="D146" s="35" t="s">
        <v>165</v>
      </c>
      <c r="E146" s="33"/>
      <c r="F146" s="33" t="s">
        <v>141</v>
      </c>
      <c r="G146" s="33" t="s">
        <v>142</v>
      </c>
      <c r="H146" s="33">
        <v>32</v>
      </c>
      <c r="I146" s="45"/>
      <c r="J146" s="33"/>
      <c r="K146" s="33"/>
      <c r="L146" s="33"/>
      <c r="M146" s="33"/>
      <c r="R146" s="70"/>
      <c r="U146" s="76">
        <f t="shared" si="6"/>
        <v>51</v>
      </c>
      <c r="V146" s="77"/>
      <c r="W146" s="76" t="s">
        <v>164</v>
      </c>
      <c r="X146" s="78" t="s">
        <v>165</v>
      </c>
      <c r="Y146" s="76"/>
      <c r="Z146" s="76" t="s">
        <v>141</v>
      </c>
      <c r="AA146" s="76" t="s">
        <v>142</v>
      </c>
      <c r="AB146" s="76">
        <v>32</v>
      </c>
      <c r="AC146" s="81"/>
      <c r="AD146" s="76"/>
      <c r="AE146" s="76"/>
      <c r="AF146" s="76"/>
      <c r="AG146" s="76"/>
    </row>
    <row r="147" s="2" customFormat="1" spans="1:33">
      <c r="A147" s="33">
        <f t="shared" si="7"/>
        <v>52</v>
      </c>
      <c r="B147" s="34"/>
      <c r="C147" s="33" t="s">
        <v>166</v>
      </c>
      <c r="D147" s="35" t="s">
        <v>167</v>
      </c>
      <c r="E147" s="33"/>
      <c r="F147" s="33" t="s">
        <v>153</v>
      </c>
      <c r="G147" s="33" t="s">
        <v>142</v>
      </c>
      <c r="H147" s="33">
        <v>32</v>
      </c>
      <c r="I147" s="45"/>
      <c r="J147" s="33"/>
      <c r="K147" s="33"/>
      <c r="L147" s="33"/>
      <c r="M147" s="33" t="s">
        <v>168</v>
      </c>
      <c r="R147" s="70"/>
      <c r="U147" s="76">
        <f t="shared" si="6"/>
        <v>52</v>
      </c>
      <c r="V147" s="77"/>
      <c r="W147" s="76" t="s">
        <v>166</v>
      </c>
      <c r="X147" s="78" t="s">
        <v>167</v>
      </c>
      <c r="Y147" s="76"/>
      <c r="Z147" s="76" t="s">
        <v>153</v>
      </c>
      <c r="AA147" s="76" t="s">
        <v>142</v>
      </c>
      <c r="AB147" s="76">
        <v>32</v>
      </c>
      <c r="AC147" s="81"/>
      <c r="AD147" s="76"/>
      <c r="AE147" s="76"/>
      <c r="AF147" s="76"/>
      <c r="AG147" s="76" t="s">
        <v>1159</v>
      </c>
    </row>
    <row r="148" s="2" customFormat="1" spans="1:33">
      <c r="A148" s="33">
        <f t="shared" si="7"/>
        <v>53</v>
      </c>
      <c r="B148" s="34"/>
      <c r="C148" s="36" t="s">
        <v>170</v>
      </c>
      <c r="D148" s="35" t="s">
        <v>171</v>
      </c>
      <c r="E148" s="33"/>
      <c r="F148" s="33" t="s">
        <v>172</v>
      </c>
      <c r="G148" s="33" t="s">
        <v>173</v>
      </c>
      <c r="H148" s="33" t="s">
        <v>8</v>
      </c>
      <c r="I148" s="45" t="s">
        <v>22</v>
      </c>
      <c r="J148" s="33"/>
      <c r="K148" s="33"/>
      <c r="L148" s="33"/>
      <c r="M148" s="33"/>
      <c r="R148" s="70"/>
      <c r="U148" s="76">
        <f t="shared" si="6"/>
        <v>53</v>
      </c>
      <c r="V148" s="77"/>
      <c r="W148" s="76" t="s">
        <v>351</v>
      </c>
      <c r="X148" s="78" t="s">
        <v>171</v>
      </c>
      <c r="Y148" s="76"/>
      <c r="Z148" s="76" t="s">
        <v>172</v>
      </c>
      <c r="AA148" s="76" t="s">
        <v>173</v>
      </c>
      <c r="AB148" s="76" t="s">
        <v>8</v>
      </c>
      <c r="AC148" s="81" t="s">
        <v>22</v>
      </c>
      <c r="AD148" s="76"/>
      <c r="AE148" s="76"/>
      <c r="AF148" s="76"/>
      <c r="AG148" s="76"/>
    </row>
    <row r="149" s="2" customFormat="1" spans="1:33">
      <c r="A149" s="33">
        <f t="shared" si="7"/>
        <v>54</v>
      </c>
      <c r="B149" s="34"/>
      <c r="C149" s="33" t="s">
        <v>174</v>
      </c>
      <c r="D149" s="35" t="s">
        <v>175</v>
      </c>
      <c r="E149" s="33"/>
      <c r="F149" s="33" t="s">
        <v>141</v>
      </c>
      <c r="G149" s="33" t="s">
        <v>142</v>
      </c>
      <c r="H149" s="33">
        <v>32</v>
      </c>
      <c r="I149" s="45"/>
      <c r="J149" s="33"/>
      <c r="K149" s="33"/>
      <c r="L149" s="33"/>
      <c r="M149" s="33"/>
      <c r="R149" s="70"/>
      <c r="U149" s="76">
        <f t="shared" si="6"/>
        <v>54</v>
      </c>
      <c r="V149" s="77"/>
      <c r="W149" s="76" t="s">
        <v>174</v>
      </c>
      <c r="X149" s="78" t="s">
        <v>175</v>
      </c>
      <c r="Y149" s="76"/>
      <c r="Z149" s="76" t="s">
        <v>141</v>
      </c>
      <c r="AA149" s="76" t="s">
        <v>142</v>
      </c>
      <c r="AB149" s="76">
        <v>32</v>
      </c>
      <c r="AC149" s="81"/>
      <c r="AD149" s="76"/>
      <c r="AE149" s="76"/>
      <c r="AF149" s="76"/>
      <c r="AG149" s="76"/>
    </row>
    <row r="150" s="2" customFormat="1" ht="22.5" spans="1:33">
      <c r="A150" s="33">
        <f t="shared" si="7"/>
        <v>55</v>
      </c>
      <c r="B150" s="34"/>
      <c r="C150" s="33" t="s">
        <v>176</v>
      </c>
      <c r="D150" s="35" t="s">
        <v>177</v>
      </c>
      <c r="E150" s="33" t="s">
        <v>178</v>
      </c>
      <c r="F150" s="33" t="s">
        <v>153</v>
      </c>
      <c r="G150" s="33" t="s">
        <v>142</v>
      </c>
      <c r="H150" s="33">
        <v>32</v>
      </c>
      <c r="I150" s="45"/>
      <c r="J150" s="33"/>
      <c r="K150" s="33"/>
      <c r="L150" s="33"/>
      <c r="M150" s="33" t="s">
        <v>179</v>
      </c>
      <c r="R150" s="70"/>
      <c r="U150" s="76">
        <f t="shared" si="6"/>
        <v>55</v>
      </c>
      <c r="V150" s="77"/>
      <c r="W150" s="76" t="s">
        <v>176</v>
      </c>
      <c r="X150" s="78" t="s">
        <v>177</v>
      </c>
      <c r="Y150" s="76" t="s">
        <v>180</v>
      </c>
      <c r="Z150" s="76" t="s">
        <v>153</v>
      </c>
      <c r="AA150" s="76" t="s">
        <v>142</v>
      </c>
      <c r="AB150" s="76">
        <v>32</v>
      </c>
      <c r="AC150" s="81"/>
      <c r="AD150" s="76"/>
      <c r="AE150" s="76"/>
      <c r="AF150" s="76"/>
      <c r="AG150" s="76" t="s">
        <v>1160</v>
      </c>
    </row>
    <row r="151" s="2" customFormat="1" spans="1:33">
      <c r="A151" s="33">
        <f t="shared" si="7"/>
        <v>56</v>
      </c>
      <c r="B151" s="34"/>
      <c r="C151" s="36" t="s">
        <v>182</v>
      </c>
      <c r="D151" s="35" t="s">
        <v>183</v>
      </c>
      <c r="E151" s="33"/>
      <c r="F151" s="33" t="s">
        <v>172</v>
      </c>
      <c r="G151" s="33" t="s">
        <v>173</v>
      </c>
      <c r="H151" s="33" t="s">
        <v>8</v>
      </c>
      <c r="I151" s="45" t="s">
        <v>22</v>
      </c>
      <c r="J151" s="33"/>
      <c r="K151" s="33"/>
      <c r="L151" s="33"/>
      <c r="M151" s="33"/>
      <c r="R151" s="70"/>
      <c r="U151" s="76">
        <f t="shared" si="6"/>
        <v>56</v>
      </c>
      <c r="V151" s="77"/>
      <c r="W151" s="76" t="s">
        <v>353</v>
      </c>
      <c r="X151" s="78" t="s">
        <v>183</v>
      </c>
      <c r="Y151" s="76"/>
      <c r="Z151" s="76" t="s">
        <v>172</v>
      </c>
      <c r="AA151" s="76" t="s">
        <v>173</v>
      </c>
      <c r="AB151" s="76" t="s">
        <v>8</v>
      </c>
      <c r="AC151" s="81" t="s">
        <v>22</v>
      </c>
      <c r="AD151" s="76"/>
      <c r="AE151" s="76"/>
      <c r="AF151" s="76"/>
      <c r="AG151" s="76"/>
    </row>
    <row r="153" spans="1:29">
      <c r="A153" s="6"/>
      <c r="B153" s="7" t="s">
        <v>15</v>
      </c>
      <c r="C153" s="8" t="s">
        <v>64</v>
      </c>
      <c r="D153" s="9"/>
      <c r="I153" s="37"/>
      <c r="U153" s="6"/>
      <c r="V153" s="7" t="s">
        <v>86</v>
      </c>
      <c r="W153" s="8" t="s">
        <v>64</v>
      </c>
      <c r="X153" s="9"/>
      <c r="AC153" s="37"/>
    </row>
    <row r="154" spans="1:33">
      <c r="A154" s="10"/>
      <c r="B154" s="11" t="s">
        <v>124</v>
      </c>
      <c r="C154" s="8" t="str">
        <f>テーブル一覧!E20</f>
        <v>T_SOD_QUE_ERROR_CTRL</v>
      </c>
      <c r="D154" s="9"/>
      <c r="E154" s="2" t="s">
        <v>1267</v>
      </c>
      <c r="F154" s="3"/>
      <c r="G154" s="3"/>
      <c r="H154" s="3"/>
      <c r="I154" s="37"/>
      <c r="J154" s="3"/>
      <c r="K154" s="3"/>
      <c r="L154" s="3"/>
      <c r="M154" s="38"/>
      <c r="U154" s="10"/>
      <c r="V154" s="11" t="s">
        <v>125</v>
      </c>
      <c r="W154" s="8">
        <f>D154</f>
        <v>0</v>
      </c>
      <c r="X154" s="9"/>
      <c r="Y154" s="2" t="s">
        <v>1267</v>
      </c>
      <c r="Z154" s="3"/>
      <c r="AA154" s="3"/>
      <c r="AB154" s="3"/>
      <c r="AC154" s="37"/>
      <c r="AD154" s="3"/>
      <c r="AE154" s="3"/>
      <c r="AF154" s="3"/>
      <c r="AG154" s="38"/>
    </row>
    <row r="155" ht="22.5" spans="1:33">
      <c r="A155" s="12" t="s">
        <v>0</v>
      </c>
      <c r="B155" s="13"/>
      <c r="C155" s="14" t="s">
        <v>126</v>
      </c>
      <c r="D155" s="15" t="s">
        <v>15</v>
      </c>
      <c r="E155" s="14" t="s">
        <v>16</v>
      </c>
      <c r="F155" s="16" t="s">
        <v>127</v>
      </c>
      <c r="G155" s="14" t="s">
        <v>127</v>
      </c>
      <c r="H155" s="14" t="s">
        <v>128</v>
      </c>
      <c r="I155" s="39" t="s">
        <v>129</v>
      </c>
      <c r="J155" s="14" t="s">
        <v>130</v>
      </c>
      <c r="K155" s="14" t="s">
        <v>131</v>
      </c>
      <c r="L155" s="14" t="s">
        <v>132</v>
      </c>
      <c r="M155" s="14" t="s">
        <v>6</v>
      </c>
      <c r="U155" s="12" t="s">
        <v>0</v>
      </c>
      <c r="V155" s="13"/>
      <c r="W155" s="14" t="s">
        <v>133</v>
      </c>
      <c r="X155" s="15" t="s">
        <v>86</v>
      </c>
      <c r="Y155" s="14" t="s">
        <v>87</v>
      </c>
      <c r="Z155" s="16" t="s">
        <v>134</v>
      </c>
      <c r="AA155" s="14" t="s">
        <v>134</v>
      </c>
      <c r="AB155" s="14" t="s">
        <v>128</v>
      </c>
      <c r="AC155" s="39" t="s">
        <v>135</v>
      </c>
      <c r="AD155" s="14" t="s">
        <v>130</v>
      </c>
      <c r="AE155" s="14" t="s">
        <v>136</v>
      </c>
      <c r="AF155" s="14" t="s">
        <v>132</v>
      </c>
      <c r="AG155" s="14" t="s">
        <v>137</v>
      </c>
    </row>
    <row r="156" s="2" customFormat="1" spans="1:37">
      <c r="A156" s="31">
        <v>1</v>
      </c>
      <c r="B156" s="59"/>
      <c r="C156" s="31" t="s">
        <v>139</v>
      </c>
      <c r="D156" s="31" t="s">
        <v>1110</v>
      </c>
      <c r="E156" s="32"/>
      <c r="F156" s="32" t="s">
        <v>301</v>
      </c>
      <c r="G156" s="93" t="s">
        <v>302</v>
      </c>
      <c r="H156" s="32" t="s">
        <v>8</v>
      </c>
      <c r="I156" s="64" t="s">
        <v>22</v>
      </c>
      <c r="J156" s="32"/>
      <c r="K156" s="32" t="s">
        <v>303</v>
      </c>
      <c r="L156" s="32" t="s">
        <v>188</v>
      </c>
      <c r="M156" s="32"/>
      <c r="N156" s="3"/>
      <c r="O156" s="3"/>
      <c r="P156" s="3"/>
      <c r="Q156" s="3"/>
      <c r="R156" s="91"/>
      <c r="S156" s="3"/>
      <c r="T156" s="3"/>
      <c r="U156" s="31">
        <v>1</v>
      </c>
      <c r="V156" s="59"/>
      <c r="W156" s="31" t="s">
        <v>139</v>
      </c>
      <c r="X156" s="31" t="s">
        <v>1110</v>
      </c>
      <c r="Y156" s="32"/>
      <c r="Z156" s="32" t="s">
        <v>301</v>
      </c>
      <c r="AA156" s="94" t="s">
        <v>302</v>
      </c>
      <c r="AB156" s="32" t="s">
        <v>8</v>
      </c>
      <c r="AC156" s="64" t="s">
        <v>22</v>
      </c>
      <c r="AD156" s="32"/>
      <c r="AE156" s="32" t="s">
        <v>303</v>
      </c>
      <c r="AF156" s="32" t="s">
        <v>188</v>
      </c>
      <c r="AG156" s="32"/>
      <c r="AH156" s="3"/>
      <c r="AI156" s="3"/>
      <c r="AJ156" s="3"/>
      <c r="AK156" s="3"/>
    </row>
    <row r="157" s="2" customFormat="1" ht="22.5" spans="1:37">
      <c r="A157" s="31">
        <f t="shared" ref="A157:A177" si="8">A156+1</f>
        <v>2</v>
      </c>
      <c r="B157" s="59"/>
      <c r="C157" s="31" t="s">
        <v>1111</v>
      </c>
      <c r="D157" s="31" t="s">
        <v>1112</v>
      </c>
      <c r="E157" s="31" t="s">
        <v>1268</v>
      </c>
      <c r="F157" s="31" t="s">
        <v>141</v>
      </c>
      <c r="G157" s="31" t="s">
        <v>142</v>
      </c>
      <c r="H157" s="31">
        <v>15</v>
      </c>
      <c r="I157" s="43" t="s">
        <v>22</v>
      </c>
      <c r="J157" s="226" t="s">
        <v>1269</v>
      </c>
      <c r="K157" s="31"/>
      <c r="L157" s="52"/>
      <c r="M157" s="31"/>
      <c r="N157" s="3"/>
      <c r="O157" s="3"/>
      <c r="P157" s="3"/>
      <c r="Q157" s="3"/>
      <c r="R157" s="91"/>
      <c r="S157" s="3"/>
      <c r="T157" s="3"/>
      <c r="U157" s="31">
        <f t="shared" ref="U157:U166" si="9">U156+1</f>
        <v>2</v>
      </c>
      <c r="V157" s="59"/>
      <c r="W157" s="31" t="s">
        <v>1111</v>
      </c>
      <c r="X157" s="31" t="s">
        <v>1112</v>
      </c>
      <c r="Y157" s="31" t="s">
        <v>1270</v>
      </c>
      <c r="Z157" s="31" t="s">
        <v>141</v>
      </c>
      <c r="AA157" s="31" t="s">
        <v>142</v>
      </c>
      <c r="AB157" s="90">
        <v>15</v>
      </c>
      <c r="AC157" s="43" t="s">
        <v>22</v>
      </c>
      <c r="AD157" s="226" t="s">
        <v>1269</v>
      </c>
      <c r="AE157" s="31"/>
      <c r="AF157" s="52"/>
      <c r="AG157" s="31"/>
      <c r="AH157" s="3"/>
      <c r="AI157" s="3"/>
      <c r="AJ157" s="3"/>
      <c r="AK157" s="3"/>
    </row>
    <row r="158" s="2" customFormat="1" ht="56.25" spans="1:37">
      <c r="A158" s="31">
        <f t="shared" si="8"/>
        <v>3</v>
      </c>
      <c r="B158" s="59"/>
      <c r="C158" s="31" t="s">
        <v>344</v>
      </c>
      <c r="D158" s="31" t="s">
        <v>965</v>
      </c>
      <c r="E158" s="31" t="s">
        <v>1271</v>
      </c>
      <c r="F158" s="31" t="s">
        <v>267</v>
      </c>
      <c r="G158" s="31" t="s">
        <v>254</v>
      </c>
      <c r="H158" s="31" t="s">
        <v>8</v>
      </c>
      <c r="I158" s="43" t="s">
        <v>22</v>
      </c>
      <c r="J158" s="31">
        <v>0</v>
      </c>
      <c r="K158" s="31"/>
      <c r="L158" s="52"/>
      <c r="M158" s="90"/>
      <c r="N158" s="3"/>
      <c r="O158" s="3"/>
      <c r="P158" s="3"/>
      <c r="Q158" s="3"/>
      <c r="R158" s="91"/>
      <c r="S158" s="3"/>
      <c r="T158" s="3"/>
      <c r="U158" s="31">
        <f t="shared" si="9"/>
        <v>3</v>
      </c>
      <c r="V158" s="59"/>
      <c r="W158" s="31" t="s">
        <v>344</v>
      </c>
      <c r="X158" s="31" t="s">
        <v>965</v>
      </c>
      <c r="Y158" s="31" t="s">
        <v>1272</v>
      </c>
      <c r="Z158" s="31" t="s">
        <v>267</v>
      </c>
      <c r="AA158" s="31" t="s">
        <v>142</v>
      </c>
      <c r="AB158" s="31" t="s">
        <v>8</v>
      </c>
      <c r="AC158" s="43" t="s">
        <v>22</v>
      </c>
      <c r="AD158" s="31">
        <v>0</v>
      </c>
      <c r="AE158" s="31"/>
      <c r="AF158" s="52"/>
      <c r="AG158" s="90"/>
      <c r="AH158" s="3"/>
      <c r="AI158" s="3"/>
      <c r="AJ158" s="3"/>
      <c r="AK158" s="3"/>
    </row>
    <row r="159" s="2" customFormat="1" spans="1:37">
      <c r="A159" s="31">
        <f t="shared" si="8"/>
        <v>4</v>
      </c>
      <c r="B159" s="59"/>
      <c r="C159" s="31" t="s">
        <v>1166</v>
      </c>
      <c r="D159" s="87" t="s">
        <v>1167</v>
      </c>
      <c r="E159" s="31"/>
      <c r="F159" s="31" t="s">
        <v>153</v>
      </c>
      <c r="G159" s="31" t="s">
        <v>254</v>
      </c>
      <c r="H159" s="31" t="s">
        <v>8</v>
      </c>
      <c r="I159" s="43" t="s">
        <v>22</v>
      </c>
      <c r="J159" s="31">
        <v>0</v>
      </c>
      <c r="K159" s="31"/>
      <c r="L159" s="31"/>
      <c r="M159" s="31"/>
      <c r="N159" s="3"/>
      <c r="O159" s="3"/>
      <c r="P159" s="3"/>
      <c r="Q159" s="3"/>
      <c r="R159" s="91"/>
      <c r="S159" s="3"/>
      <c r="T159" s="3"/>
      <c r="U159" s="31">
        <f t="shared" si="9"/>
        <v>4</v>
      </c>
      <c r="V159" s="59"/>
      <c r="W159" s="31" t="s">
        <v>1166</v>
      </c>
      <c r="X159" s="87" t="s">
        <v>1167</v>
      </c>
      <c r="Y159" s="31"/>
      <c r="Z159" s="31" t="s">
        <v>153</v>
      </c>
      <c r="AA159" s="31" t="s">
        <v>142</v>
      </c>
      <c r="AB159" s="31" t="s">
        <v>8</v>
      </c>
      <c r="AC159" s="43" t="s">
        <v>22</v>
      </c>
      <c r="AD159" s="31">
        <v>0</v>
      </c>
      <c r="AE159" s="31"/>
      <c r="AF159" s="31"/>
      <c r="AG159" s="31"/>
      <c r="AH159" s="3"/>
      <c r="AI159" s="3"/>
      <c r="AJ159" s="3"/>
      <c r="AK159" s="3"/>
    </row>
    <row r="160" s="2" customFormat="1" ht="33.75" spans="1:37">
      <c r="A160" s="31">
        <f t="shared" si="8"/>
        <v>5</v>
      </c>
      <c r="B160" s="59" t="s">
        <v>1273</v>
      </c>
      <c r="C160" s="31" t="s">
        <v>1274</v>
      </c>
      <c r="D160" s="31" t="s">
        <v>1275</v>
      </c>
      <c r="E160" s="31" t="s">
        <v>1276</v>
      </c>
      <c r="F160" s="31" t="s">
        <v>153</v>
      </c>
      <c r="G160" s="31" t="s">
        <v>254</v>
      </c>
      <c r="H160" s="31" t="s">
        <v>8</v>
      </c>
      <c r="I160" s="43" t="s">
        <v>22</v>
      </c>
      <c r="J160" s="90">
        <v>1</v>
      </c>
      <c r="K160" s="31"/>
      <c r="L160" s="87"/>
      <c r="M160" s="31"/>
      <c r="N160" s="3"/>
      <c r="O160" s="3"/>
      <c r="P160" s="3"/>
      <c r="Q160" s="3"/>
      <c r="R160" s="91"/>
      <c r="S160" s="3"/>
      <c r="T160" s="3"/>
      <c r="U160" s="31">
        <f t="shared" si="9"/>
        <v>5</v>
      </c>
      <c r="V160" s="59"/>
      <c r="W160" s="31" t="s">
        <v>1274</v>
      </c>
      <c r="X160" s="31" t="s">
        <v>1275</v>
      </c>
      <c r="Y160" s="31" t="s">
        <v>1277</v>
      </c>
      <c r="Z160" s="31" t="s">
        <v>153</v>
      </c>
      <c r="AA160" s="31" t="s">
        <v>142</v>
      </c>
      <c r="AB160" s="31" t="s">
        <v>8</v>
      </c>
      <c r="AC160" s="43" t="s">
        <v>22</v>
      </c>
      <c r="AD160" s="31"/>
      <c r="AE160" s="31"/>
      <c r="AF160" s="87"/>
      <c r="AG160" s="31"/>
      <c r="AH160" s="3"/>
      <c r="AI160" s="3"/>
      <c r="AJ160" s="3"/>
      <c r="AK160" s="3"/>
    </row>
    <row r="161" s="2" customFormat="1" ht="409.5" spans="1:37">
      <c r="A161" s="31">
        <f t="shared" si="8"/>
        <v>6</v>
      </c>
      <c r="B161" s="59" t="s">
        <v>393</v>
      </c>
      <c r="C161" s="31" t="s">
        <v>1115</v>
      </c>
      <c r="D161" s="32" t="s">
        <v>1252</v>
      </c>
      <c r="E161" s="32" t="s">
        <v>1278</v>
      </c>
      <c r="F161" s="32" t="s">
        <v>141</v>
      </c>
      <c r="G161" s="31" t="s">
        <v>142</v>
      </c>
      <c r="H161" s="32">
        <v>5</v>
      </c>
      <c r="I161" s="43" t="s">
        <v>22</v>
      </c>
      <c r="J161" s="31"/>
      <c r="K161" s="31"/>
      <c r="L161" s="52" t="s">
        <v>310</v>
      </c>
      <c r="M161" s="31"/>
      <c r="N161" s="3"/>
      <c r="O161" s="3"/>
      <c r="P161" s="3"/>
      <c r="Q161" s="3"/>
      <c r="R161" s="91"/>
      <c r="S161" s="3"/>
      <c r="T161" s="3"/>
      <c r="U161" s="31">
        <f t="shared" si="9"/>
        <v>6</v>
      </c>
      <c r="V161" s="59"/>
      <c r="W161" s="31" t="s">
        <v>1115</v>
      </c>
      <c r="X161" s="32" t="s">
        <v>1252</v>
      </c>
      <c r="Y161" s="95" t="s">
        <v>1253</v>
      </c>
      <c r="Z161" s="32" t="s">
        <v>141</v>
      </c>
      <c r="AA161" s="31" t="s">
        <v>142</v>
      </c>
      <c r="AB161" s="32">
        <v>5</v>
      </c>
      <c r="AC161" s="43" t="s">
        <v>22</v>
      </c>
      <c r="AD161" s="31"/>
      <c r="AE161" s="31"/>
      <c r="AF161" s="52" t="s">
        <v>310</v>
      </c>
      <c r="AG161" s="31"/>
      <c r="AH161" s="3"/>
      <c r="AI161" s="3"/>
      <c r="AJ161" s="3"/>
      <c r="AK161" s="3"/>
    </row>
    <row r="162" s="2" customFormat="1" spans="1:37">
      <c r="A162" s="56">
        <f t="shared" si="8"/>
        <v>7</v>
      </c>
      <c r="B162" s="57"/>
      <c r="C162" s="56" t="s">
        <v>980</v>
      </c>
      <c r="D162" s="56" t="s">
        <v>981</v>
      </c>
      <c r="E162" s="56"/>
      <c r="F162" s="56" t="s">
        <v>141</v>
      </c>
      <c r="G162" s="56" t="s">
        <v>142</v>
      </c>
      <c r="H162" s="56">
        <v>64</v>
      </c>
      <c r="I162" s="66"/>
      <c r="J162" s="56"/>
      <c r="K162" s="56"/>
      <c r="L162" s="58"/>
      <c r="M162" s="56" t="s">
        <v>230</v>
      </c>
      <c r="N162" s="3"/>
      <c r="O162" s="3"/>
      <c r="P162" s="3"/>
      <c r="Q162" s="3"/>
      <c r="R162" s="91"/>
      <c r="S162" s="3"/>
      <c r="T162" s="3"/>
      <c r="U162" s="71">
        <f t="shared" si="9"/>
        <v>7</v>
      </c>
      <c r="V162" s="72"/>
      <c r="W162" s="71" t="s">
        <v>980</v>
      </c>
      <c r="X162" s="71" t="s">
        <v>981</v>
      </c>
      <c r="Y162" s="71"/>
      <c r="Z162" s="71" t="s">
        <v>141</v>
      </c>
      <c r="AA162" s="71" t="s">
        <v>142</v>
      </c>
      <c r="AB162" s="71">
        <v>64</v>
      </c>
      <c r="AC162" s="80"/>
      <c r="AD162" s="71"/>
      <c r="AE162" s="71"/>
      <c r="AF162" s="73"/>
      <c r="AG162" s="71" t="s">
        <v>230</v>
      </c>
      <c r="AH162" s="3"/>
      <c r="AI162" s="3"/>
      <c r="AJ162" s="3"/>
      <c r="AK162" s="3"/>
    </row>
    <row r="163" s="86" customFormat="1" ht="33.75" spans="1:37">
      <c r="A163" s="31">
        <f t="shared" si="8"/>
        <v>8</v>
      </c>
      <c r="B163" s="51" t="s">
        <v>1138</v>
      </c>
      <c r="C163" s="32" t="s">
        <v>1139</v>
      </c>
      <c r="D163" s="32" t="s">
        <v>1140</v>
      </c>
      <c r="E163" s="32" t="s">
        <v>1141</v>
      </c>
      <c r="F163" s="32" t="s">
        <v>153</v>
      </c>
      <c r="G163" s="31" t="s">
        <v>254</v>
      </c>
      <c r="H163" s="32" t="s">
        <v>8</v>
      </c>
      <c r="I163" s="43" t="s">
        <v>22</v>
      </c>
      <c r="J163" s="67">
        <v>2</v>
      </c>
      <c r="K163" s="32"/>
      <c r="L163" s="52"/>
      <c r="M163" s="32"/>
      <c r="N163" s="88"/>
      <c r="O163" s="3"/>
      <c r="P163" s="88"/>
      <c r="Q163" s="88"/>
      <c r="R163" s="91"/>
      <c r="S163" s="88"/>
      <c r="T163" s="88"/>
      <c r="U163" s="31">
        <f t="shared" si="9"/>
        <v>8</v>
      </c>
      <c r="V163" s="51"/>
      <c r="W163" s="32" t="s">
        <v>1139</v>
      </c>
      <c r="X163" s="32" t="s">
        <v>1140</v>
      </c>
      <c r="Y163" s="32" t="s">
        <v>1279</v>
      </c>
      <c r="Z163" s="32" t="s">
        <v>153</v>
      </c>
      <c r="AA163" s="31" t="s">
        <v>254</v>
      </c>
      <c r="AB163" s="32" t="s">
        <v>8</v>
      </c>
      <c r="AC163" s="43" t="s">
        <v>22</v>
      </c>
      <c r="AD163" s="32"/>
      <c r="AE163" s="32"/>
      <c r="AF163" s="52"/>
      <c r="AG163" s="32"/>
      <c r="AH163" s="88"/>
      <c r="AI163" s="3"/>
      <c r="AJ163" s="88"/>
      <c r="AK163" s="88"/>
    </row>
    <row r="164" s="86" customFormat="1" ht="22.5" customHeight="1" spans="1:37">
      <c r="A164" s="31">
        <f t="shared" si="8"/>
        <v>9</v>
      </c>
      <c r="B164" s="59"/>
      <c r="C164" s="31" t="s">
        <v>1143</v>
      </c>
      <c r="D164" s="87" t="s">
        <v>1280</v>
      </c>
      <c r="E164" s="31" t="s">
        <v>1281</v>
      </c>
      <c r="F164" s="31" t="s">
        <v>172</v>
      </c>
      <c r="G164" s="31" t="s">
        <v>173</v>
      </c>
      <c r="H164" s="31" t="s">
        <v>8</v>
      </c>
      <c r="I164" s="43" t="s">
        <v>22</v>
      </c>
      <c r="J164" s="226" t="s">
        <v>1146</v>
      </c>
      <c r="K164" s="31"/>
      <c r="L164" s="31"/>
      <c r="M164" s="31"/>
      <c r="N164" s="88"/>
      <c r="O164" s="3"/>
      <c r="P164" s="88"/>
      <c r="Q164" s="88"/>
      <c r="R164" s="91"/>
      <c r="S164" s="88"/>
      <c r="T164" s="88"/>
      <c r="U164" s="31">
        <f t="shared" si="9"/>
        <v>9</v>
      </c>
      <c r="V164" s="59"/>
      <c r="W164" s="31" t="s">
        <v>1143</v>
      </c>
      <c r="X164" s="87" t="s">
        <v>1280</v>
      </c>
      <c r="Y164" s="31" t="s">
        <v>1282</v>
      </c>
      <c r="Z164" s="31" t="s">
        <v>172</v>
      </c>
      <c r="AA164" s="31" t="s">
        <v>173</v>
      </c>
      <c r="AB164" s="31" t="s">
        <v>8</v>
      </c>
      <c r="AC164" s="43" t="s">
        <v>22</v>
      </c>
      <c r="AD164" s="226" t="s">
        <v>1146</v>
      </c>
      <c r="AE164" s="31"/>
      <c r="AF164" s="31"/>
      <c r="AG164" s="31"/>
      <c r="AH164" s="88"/>
      <c r="AI164" s="3"/>
      <c r="AJ164" s="88"/>
      <c r="AK164" s="88"/>
    </row>
    <row r="165" s="86" customFormat="1" ht="22.5" customHeight="1" spans="1:37">
      <c r="A165" s="31">
        <f t="shared" si="8"/>
        <v>10</v>
      </c>
      <c r="B165" s="59"/>
      <c r="C165" s="31" t="s">
        <v>1148</v>
      </c>
      <c r="D165" s="87" t="s">
        <v>1283</v>
      </c>
      <c r="E165" s="31" t="s">
        <v>1284</v>
      </c>
      <c r="F165" s="31" t="s">
        <v>172</v>
      </c>
      <c r="G165" s="31" t="s">
        <v>173</v>
      </c>
      <c r="H165" s="31" t="s">
        <v>8</v>
      </c>
      <c r="I165" s="43"/>
      <c r="J165" s="31"/>
      <c r="K165" s="31"/>
      <c r="L165" s="31"/>
      <c r="M165" s="31"/>
      <c r="N165" s="88"/>
      <c r="O165" s="3"/>
      <c r="P165" s="88"/>
      <c r="Q165" s="88"/>
      <c r="R165" s="91"/>
      <c r="S165" s="88"/>
      <c r="T165" s="88"/>
      <c r="U165" s="31">
        <f t="shared" si="9"/>
        <v>10</v>
      </c>
      <c r="V165" s="59"/>
      <c r="W165" s="31" t="s">
        <v>1148</v>
      </c>
      <c r="X165" s="87" t="s">
        <v>1283</v>
      </c>
      <c r="Y165" s="31" t="s">
        <v>1285</v>
      </c>
      <c r="Z165" s="31" t="s">
        <v>172</v>
      </c>
      <c r="AA165" s="31" t="s">
        <v>173</v>
      </c>
      <c r="AB165" s="31" t="s">
        <v>8</v>
      </c>
      <c r="AC165" s="43"/>
      <c r="AD165" s="31"/>
      <c r="AE165" s="31"/>
      <c r="AF165" s="31"/>
      <c r="AG165" s="31"/>
      <c r="AH165" s="88"/>
      <c r="AI165" s="3"/>
      <c r="AJ165" s="88"/>
      <c r="AK165" s="88"/>
    </row>
    <row r="166" s="2" customFormat="1" spans="1:37">
      <c r="A166" s="56">
        <f t="shared" si="8"/>
        <v>11</v>
      </c>
      <c r="B166" s="57"/>
      <c r="C166" s="56" t="s">
        <v>1265</v>
      </c>
      <c r="D166" s="56" t="s">
        <v>1266</v>
      </c>
      <c r="E166" s="56"/>
      <c r="F166" s="56" t="s">
        <v>141</v>
      </c>
      <c r="G166" s="56" t="s">
        <v>142</v>
      </c>
      <c r="H166" s="56">
        <v>64</v>
      </c>
      <c r="I166" s="66"/>
      <c r="J166" s="56"/>
      <c r="K166" s="56"/>
      <c r="L166" s="58"/>
      <c r="M166" s="56" t="s">
        <v>230</v>
      </c>
      <c r="N166" s="3"/>
      <c r="O166" s="3"/>
      <c r="P166" s="3"/>
      <c r="Q166" s="3"/>
      <c r="R166" s="91"/>
      <c r="S166" s="3"/>
      <c r="T166" s="3"/>
      <c r="U166" s="71">
        <f t="shared" si="9"/>
        <v>11</v>
      </c>
      <c r="V166" s="72"/>
      <c r="W166" s="71" t="s">
        <v>1265</v>
      </c>
      <c r="X166" s="71" t="s">
        <v>1266</v>
      </c>
      <c r="Y166" s="71"/>
      <c r="Z166" s="71" t="s">
        <v>141</v>
      </c>
      <c r="AA166" s="71" t="s">
        <v>142</v>
      </c>
      <c r="AB166" s="71">
        <v>64</v>
      </c>
      <c r="AC166" s="80"/>
      <c r="AD166" s="71"/>
      <c r="AE166" s="71"/>
      <c r="AF166" s="73"/>
      <c r="AG166" s="71" t="s">
        <v>230</v>
      </c>
      <c r="AH166" s="3"/>
      <c r="AI166" s="3"/>
      <c r="AJ166" s="3"/>
      <c r="AK166" s="3"/>
    </row>
    <row r="167" s="2" customFormat="1" spans="1:37">
      <c r="A167" s="31">
        <f>A165+1</f>
        <v>11</v>
      </c>
      <c r="B167" s="59"/>
      <c r="C167" s="31" t="s">
        <v>1286</v>
      </c>
      <c r="D167" s="31" t="s">
        <v>1287</v>
      </c>
      <c r="E167" s="31"/>
      <c r="F167" s="31" t="s">
        <v>516</v>
      </c>
      <c r="G167" s="31" t="s">
        <v>1037</v>
      </c>
      <c r="H167" s="32" t="s">
        <v>8</v>
      </c>
      <c r="I167" s="43"/>
      <c r="J167" s="31"/>
      <c r="K167" s="31"/>
      <c r="L167" s="87"/>
      <c r="M167" s="32"/>
      <c r="N167" s="3"/>
      <c r="O167" s="3"/>
      <c r="P167" s="3"/>
      <c r="Q167" s="3"/>
      <c r="R167" s="91"/>
      <c r="S167" s="3"/>
      <c r="T167" s="3"/>
      <c r="U167" s="31">
        <f>U165+1</f>
        <v>11</v>
      </c>
      <c r="V167" s="59"/>
      <c r="W167" s="31" t="s">
        <v>1286</v>
      </c>
      <c r="X167" s="31" t="s">
        <v>1287</v>
      </c>
      <c r="Y167" s="31"/>
      <c r="Z167" s="31" t="s">
        <v>516</v>
      </c>
      <c r="AA167" s="31" t="s">
        <v>1037</v>
      </c>
      <c r="AB167" s="32" t="s">
        <v>8</v>
      </c>
      <c r="AC167" s="43"/>
      <c r="AD167" s="31"/>
      <c r="AE167" s="31"/>
      <c r="AF167" s="87"/>
      <c r="AG167" s="32"/>
      <c r="AH167" s="3"/>
      <c r="AI167" s="3"/>
      <c r="AJ167" s="3"/>
      <c r="AK167" s="3"/>
    </row>
    <row r="168" s="2" customFormat="1" spans="1:37">
      <c r="A168" s="31">
        <f t="shared" si="8"/>
        <v>12</v>
      </c>
      <c r="B168" s="59"/>
      <c r="C168" s="31" t="s">
        <v>1288</v>
      </c>
      <c r="D168" s="31" t="s">
        <v>1289</v>
      </c>
      <c r="E168" s="31" t="s">
        <v>1290</v>
      </c>
      <c r="F168" s="31" t="s">
        <v>516</v>
      </c>
      <c r="G168" s="31" t="s">
        <v>1037</v>
      </c>
      <c r="H168" s="31" t="s">
        <v>8</v>
      </c>
      <c r="I168" s="43"/>
      <c r="J168" s="31"/>
      <c r="K168" s="31"/>
      <c r="L168" s="87"/>
      <c r="M168" s="32"/>
      <c r="N168" s="3"/>
      <c r="O168" s="3"/>
      <c r="P168" s="3"/>
      <c r="Q168" s="3"/>
      <c r="R168" s="91"/>
      <c r="S168" s="3"/>
      <c r="T168" s="3"/>
      <c r="U168" s="31">
        <f t="shared" ref="U168:U177" si="10">U167+1</f>
        <v>12</v>
      </c>
      <c r="V168" s="59"/>
      <c r="W168" s="31" t="s">
        <v>1288</v>
      </c>
      <c r="X168" s="31" t="s">
        <v>1289</v>
      </c>
      <c r="Y168" s="31" t="s">
        <v>1291</v>
      </c>
      <c r="Z168" s="31" t="s">
        <v>516</v>
      </c>
      <c r="AA168" s="31" t="s">
        <v>1037</v>
      </c>
      <c r="AB168" s="31" t="s">
        <v>8</v>
      </c>
      <c r="AC168" s="43"/>
      <c r="AD168" s="31"/>
      <c r="AE168" s="31"/>
      <c r="AF168" s="87"/>
      <c r="AG168" s="32"/>
      <c r="AH168" s="3"/>
      <c r="AI168" s="3"/>
      <c r="AJ168" s="3"/>
      <c r="AK168" s="3"/>
    </row>
    <row r="169" s="2" customFormat="1" spans="1:37">
      <c r="A169" s="31">
        <f t="shared" si="8"/>
        <v>13</v>
      </c>
      <c r="B169" s="59"/>
      <c r="C169" s="31" t="s">
        <v>1292</v>
      </c>
      <c r="D169" s="31" t="s">
        <v>1293</v>
      </c>
      <c r="E169" s="31" t="s">
        <v>1290</v>
      </c>
      <c r="F169" s="31" t="s">
        <v>516</v>
      </c>
      <c r="G169" s="31" t="s">
        <v>1037</v>
      </c>
      <c r="H169" s="31" t="s">
        <v>8</v>
      </c>
      <c r="I169" s="43"/>
      <c r="J169" s="31"/>
      <c r="K169" s="31"/>
      <c r="L169" s="87"/>
      <c r="M169" s="32"/>
      <c r="N169" s="3"/>
      <c r="O169" s="3"/>
      <c r="P169" s="3"/>
      <c r="Q169" s="3"/>
      <c r="R169" s="91"/>
      <c r="S169" s="3"/>
      <c r="T169" s="3"/>
      <c r="U169" s="31">
        <f t="shared" si="10"/>
        <v>13</v>
      </c>
      <c r="V169" s="59"/>
      <c r="W169" s="31" t="s">
        <v>1292</v>
      </c>
      <c r="X169" s="31" t="s">
        <v>1293</v>
      </c>
      <c r="Y169" s="31" t="s">
        <v>1291</v>
      </c>
      <c r="Z169" s="31" t="s">
        <v>516</v>
      </c>
      <c r="AA169" s="31" t="s">
        <v>1037</v>
      </c>
      <c r="AB169" s="31" t="s">
        <v>8</v>
      </c>
      <c r="AC169" s="43"/>
      <c r="AD169" s="31"/>
      <c r="AE169" s="31"/>
      <c r="AF169" s="87"/>
      <c r="AG169" s="32"/>
      <c r="AH169" s="3"/>
      <c r="AI169" s="3"/>
      <c r="AJ169" s="3"/>
      <c r="AK169" s="3"/>
    </row>
    <row r="170" s="2" customFormat="1" ht="22.5" spans="1:33">
      <c r="A170" s="33">
        <f t="shared" si="8"/>
        <v>14</v>
      </c>
      <c r="B170" s="34"/>
      <c r="C170" s="33" t="s">
        <v>150</v>
      </c>
      <c r="D170" s="35" t="s">
        <v>151</v>
      </c>
      <c r="E170" s="33" t="s">
        <v>152</v>
      </c>
      <c r="F170" s="33" t="s">
        <v>153</v>
      </c>
      <c r="G170" s="33" t="s">
        <v>154</v>
      </c>
      <c r="H170" s="33" t="s">
        <v>8</v>
      </c>
      <c r="I170" s="45" t="s">
        <v>22</v>
      </c>
      <c r="J170" s="225" t="s">
        <v>155</v>
      </c>
      <c r="K170" s="33"/>
      <c r="L170" s="33"/>
      <c r="M170" s="33" t="s">
        <v>156</v>
      </c>
      <c r="R170" s="70"/>
      <c r="U170" s="76">
        <f t="shared" si="10"/>
        <v>14</v>
      </c>
      <c r="V170" s="77"/>
      <c r="W170" s="76" t="s">
        <v>150</v>
      </c>
      <c r="X170" s="78" t="s">
        <v>151</v>
      </c>
      <c r="Y170" s="76" t="s">
        <v>644</v>
      </c>
      <c r="Z170" s="76" t="s">
        <v>153</v>
      </c>
      <c r="AA170" s="76" t="s">
        <v>154</v>
      </c>
      <c r="AB170" s="76" t="s">
        <v>8</v>
      </c>
      <c r="AC170" s="81" t="s">
        <v>22</v>
      </c>
      <c r="AD170" s="230" t="s">
        <v>155</v>
      </c>
      <c r="AE170" s="76"/>
      <c r="AF170" s="76"/>
      <c r="AG170" s="76" t="s">
        <v>617</v>
      </c>
    </row>
    <row r="171" s="2" customFormat="1" ht="22.5" spans="1:33">
      <c r="A171" s="33">
        <f t="shared" si="8"/>
        <v>15</v>
      </c>
      <c r="B171" s="34"/>
      <c r="C171" s="33" t="s">
        <v>159</v>
      </c>
      <c r="D171" s="35" t="s">
        <v>160</v>
      </c>
      <c r="E171" s="33" t="s">
        <v>161</v>
      </c>
      <c r="F171" s="33" t="s">
        <v>153</v>
      </c>
      <c r="G171" s="33" t="s">
        <v>162</v>
      </c>
      <c r="H171" s="33"/>
      <c r="I171" s="45" t="s">
        <v>22</v>
      </c>
      <c r="J171" s="33">
        <v>0</v>
      </c>
      <c r="K171" s="33"/>
      <c r="L171" s="33"/>
      <c r="M171" s="33"/>
      <c r="R171" s="70"/>
      <c r="U171" s="76">
        <f t="shared" si="10"/>
        <v>15</v>
      </c>
      <c r="V171" s="77"/>
      <c r="W171" s="76" t="s">
        <v>159</v>
      </c>
      <c r="X171" s="78" t="s">
        <v>160</v>
      </c>
      <c r="Y171" s="76" t="s">
        <v>163</v>
      </c>
      <c r="Z171" s="76" t="s">
        <v>153</v>
      </c>
      <c r="AA171" s="76" t="s">
        <v>162</v>
      </c>
      <c r="AB171" s="76"/>
      <c r="AC171" s="81" t="s">
        <v>22</v>
      </c>
      <c r="AD171" s="76">
        <v>0</v>
      </c>
      <c r="AE171" s="76"/>
      <c r="AF171" s="76"/>
      <c r="AG171" s="76"/>
    </row>
    <row r="172" s="2" customFormat="1" spans="1:33">
      <c r="A172" s="33">
        <f t="shared" si="8"/>
        <v>16</v>
      </c>
      <c r="B172" s="34"/>
      <c r="C172" s="33" t="s">
        <v>164</v>
      </c>
      <c r="D172" s="35" t="s">
        <v>165</v>
      </c>
      <c r="E172" s="33"/>
      <c r="F172" s="33" t="s">
        <v>141</v>
      </c>
      <c r="G172" s="33" t="s">
        <v>142</v>
      </c>
      <c r="H172" s="33">
        <v>32</v>
      </c>
      <c r="I172" s="45"/>
      <c r="J172" s="33"/>
      <c r="K172" s="33"/>
      <c r="L172" s="33"/>
      <c r="M172" s="33"/>
      <c r="R172" s="70"/>
      <c r="U172" s="76">
        <f t="shared" si="10"/>
        <v>16</v>
      </c>
      <c r="V172" s="77"/>
      <c r="W172" s="76" t="s">
        <v>164</v>
      </c>
      <c r="X172" s="78" t="s">
        <v>165</v>
      </c>
      <c r="Y172" s="76"/>
      <c r="Z172" s="76" t="s">
        <v>141</v>
      </c>
      <c r="AA172" s="76" t="s">
        <v>142</v>
      </c>
      <c r="AB172" s="76">
        <v>32</v>
      </c>
      <c r="AC172" s="81"/>
      <c r="AD172" s="76"/>
      <c r="AE172" s="76"/>
      <c r="AF172" s="76"/>
      <c r="AG172" s="76"/>
    </row>
    <row r="173" s="2" customFormat="1" spans="1:33">
      <c r="A173" s="33">
        <f t="shared" si="8"/>
        <v>17</v>
      </c>
      <c r="B173" s="34"/>
      <c r="C173" s="33" t="s">
        <v>166</v>
      </c>
      <c r="D173" s="35" t="s">
        <v>167</v>
      </c>
      <c r="E173" s="33"/>
      <c r="F173" s="33" t="s">
        <v>153</v>
      </c>
      <c r="G173" s="33" t="s">
        <v>142</v>
      </c>
      <c r="H173" s="33">
        <v>32</v>
      </c>
      <c r="I173" s="45"/>
      <c r="J173" s="33"/>
      <c r="K173" s="33"/>
      <c r="L173" s="33"/>
      <c r="M173" s="33" t="s">
        <v>168</v>
      </c>
      <c r="R173" s="70"/>
      <c r="U173" s="76">
        <f t="shared" si="10"/>
        <v>17</v>
      </c>
      <c r="V173" s="77"/>
      <c r="W173" s="76" t="s">
        <v>166</v>
      </c>
      <c r="X173" s="78" t="s">
        <v>167</v>
      </c>
      <c r="Y173" s="76"/>
      <c r="Z173" s="76" t="s">
        <v>153</v>
      </c>
      <c r="AA173" s="76" t="s">
        <v>142</v>
      </c>
      <c r="AB173" s="76">
        <v>32</v>
      </c>
      <c r="AC173" s="81"/>
      <c r="AD173" s="76"/>
      <c r="AE173" s="76"/>
      <c r="AF173" s="76"/>
      <c r="AG173" s="76" t="s">
        <v>1159</v>
      </c>
    </row>
    <row r="174" s="2" customFormat="1" spans="1:33">
      <c r="A174" s="33">
        <f t="shared" si="8"/>
        <v>18</v>
      </c>
      <c r="B174" s="34"/>
      <c r="C174" s="36" t="s">
        <v>170</v>
      </c>
      <c r="D174" s="35" t="s">
        <v>171</v>
      </c>
      <c r="E174" s="33"/>
      <c r="F174" s="33" t="s">
        <v>172</v>
      </c>
      <c r="G174" s="33" t="s">
        <v>173</v>
      </c>
      <c r="H174" s="33" t="s">
        <v>8</v>
      </c>
      <c r="I174" s="45" t="s">
        <v>22</v>
      </c>
      <c r="J174" s="33"/>
      <c r="K174" s="33"/>
      <c r="L174" s="33"/>
      <c r="M174" s="33"/>
      <c r="R174" s="70"/>
      <c r="U174" s="76">
        <f t="shared" si="10"/>
        <v>18</v>
      </c>
      <c r="V174" s="77"/>
      <c r="W174" s="76" t="s">
        <v>351</v>
      </c>
      <c r="X174" s="78" t="s">
        <v>171</v>
      </c>
      <c r="Y174" s="76"/>
      <c r="Z174" s="76" t="s">
        <v>172</v>
      </c>
      <c r="AA174" s="76" t="s">
        <v>173</v>
      </c>
      <c r="AB174" s="76" t="s">
        <v>8</v>
      </c>
      <c r="AC174" s="81" t="s">
        <v>22</v>
      </c>
      <c r="AD174" s="76"/>
      <c r="AE174" s="76"/>
      <c r="AF174" s="76"/>
      <c r="AG174" s="76"/>
    </row>
    <row r="175" s="2" customFormat="1" spans="1:33">
      <c r="A175" s="33">
        <f t="shared" si="8"/>
        <v>19</v>
      </c>
      <c r="B175" s="34"/>
      <c r="C175" s="33" t="s">
        <v>174</v>
      </c>
      <c r="D175" s="35" t="s">
        <v>175</v>
      </c>
      <c r="E175" s="33"/>
      <c r="F175" s="33" t="s">
        <v>141</v>
      </c>
      <c r="G175" s="33" t="s">
        <v>142</v>
      </c>
      <c r="H175" s="33">
        <v>32</v>
      </c>
      <c r="I175" s="45"/>
      <c r="J175" s="33"/>
      <c r="K175" s="33"/>
      <c r="L175" s="33"/>
      <c r="M175" s="33"/>
      <c r="R175" s="70"/>
      <c r="U175" s="76">
        <f t="shared" si="10"/>
        <v>19</v>
      </c>
      <c r="V175" s="77"/>
      <c r="W175" s="76" t="s">
        <v>174</v>
      </c>
      <c r="X175" s="78" t="s">
        <v>175</v>
      </c>
      <c r="Y175" s="76"/>
      <c r="Z175" s="76" t="s">
        <v>141</v>
      </c>
      <c r="AA175" s="76" t="s">
        <v>142</v>
      </c>
      <c r="AB175" s="76">
        <v>32</v>
      </c>
      <c r="AC175" s="81"/>
      <c r="AD175" s="76"/>
      <c r="AE175" s="76"/>
      <c r="AF175" s="76"/>
      <c r="AG175" s="76"/>
    </row>
    <row r="176" s="2" customFormat="1" ht="22.5" spans="1:33">
      <c r="A176" s="33">
        <f t="shared" si="8"/>
        <v>20</v>
      </c>
      <c r="B176" s="34"/>
      <c r="C176" s="33" t="s">
        <v>176</v>
      </c>
      <c r="D176" s="35" t="s">
        <v>177</v>
      </c>
      <c r="E176" s="33" t="s">
        <v>178</v>
      </c>
      <c r="F176" s="33" t="s">
        <v>153</v>
      </c>
      <c r="G176" s="33" t="s">
        <v>142</v>
      </c>
      <c r="H176" s="33">
        <v>32</v>
      </c>
      <c r="I176" s="45"/>
      <c r="J176" s="33"/>
      <c r="K176" s="33"/>
      <c r="L176" s="33"/>
      <c r="M176" s="33" t="s">
        <v>179</v>
      </c>
      <c r="R176" s="70"/>
      <c r="U176" s="76">
        <f t="shared" si="10"/>
        <v>20</v>
      </c>
      <c r="V176" s="77"/>
      <c r="W176" s="76" t="s">
        <v>176</v>
      </c>
      <c r="X176" s="78" t="s">
        <v>177</v>
      </c>
      <c r="Y176" s="76" t="s">
        <v>180</v>
      </c>
      <c r="Z176" s="76" t="s">
        <v>153</v>
      </c>
      <c r="AA176" s="76" t="s">
        <v>142</v>
      </c>
      <c r="AB176" s="76">
        <v>32</v>
      </c>
      <c r="AC176" s="81"/>
      <c r="AD176" s="76"/>
      <c r="AE176" s="76"/>
      <c r="AF176" s="76"/>
      <c r="AG176" s="76" t="s">
        <v>1160</v>
      </c>
    </row>
    <row r="177" s="2" customFormat="1" spans="1:33">
      <c r="A177" s="33">
        <f t="shared" si="8"/>
        <v>21</v>
      </c>
      <c r="B177" s="34"/>
      <c r="C177" s="36" t="s">
        <v>182</v>
      </c>
      <c r="D177" s="35" t="s">
        <v>183</v>
      </c>
      <c r="E177" s="33"/>
      <c r="F177" s="33" t="s">
        <v>172</v>
      </c>
      <c r="G177" s="33" t="s">
        <v>173</v>
      </c>
      <c r="H177" s="33" t="s">
        <v>8</v>
      </c>
      <c r="I177" s="45" t="s">
        <v>22</v>
      </c>
      <c r="J177" s="33"/>
      <c r="K177" s="33"/>
      <c r="L177" s="33"/>
      <c r="M177" s="33"/>
      <c r="R177" s="70"/>
      <c r="U177" s="76">
        <f t="shared" si="10"/>
        <v>21</v>
      </c>
      <c r="V177" s="77"/>
      <c r="W177" s="76" t="s">
        <v>353</v>
      </c>
      <c r="X177" s="78" t="s">
        <v>183</v>
      </c>
      <c r="Y177" s="76"/>
      <c r="Z177" s="76" t="s">
        <v>172</v>
      </c>
      <c r="AA177" s="76" t="s">
        <v>173</v>
      </c>
      <c r="AB177" s="76" t="s">
        <v>8</v>
      </c>
      <c r="AC177" s="81" t="s">
        <v>22</v>
      </c>
      <c r="AD177" s="76"/>
      <c r="AE177" s="76"/>
      <c r="AF177" s="76"/>
      <c r="AG177" s="76"/>
    </row>
  </sheetData>
  <conditionalFormatting sqref="D39:E39">
    <cfRule type="dataBar" priority="8">
      <dataBar>
        <cfvo type="min"/>
        <cfvo type="max"/>
        <color rgb="FF638EC6"/>
      </dataBar>
      <extLst>
        <ext xmlns:x14="http://schemas.microsoft.com/office/spreadsheetml/2009/9/main" uri="{B025F937-C7B1-47D3-B67F-A62EFF666E3E}">
          <x14:id>{d6355d9f-4e04-4a21-9860-0eb79e9ca912}</x14:id>
        </ext>
      </extLst>
    </cfRule>
  </conditionalFormatting>
  <conditionalFormatting sqref="X39:Y39">
    <cfRule type="dataBar" priority="2">
      <dataBar>
        <cfvo type="min"/>
        <cfvo type="max"/>
        <color rgb="FF638EC6"/>
      </dataBar>
      <extLst>
        <ext xmlns:x14="http://schemas.microsoft.com/office/spreadsheetml/2009/9/main" uri="{B025F937-C7B1-47D3-B67F-A62EFF666E3E}">
          <x14:id>{09ad0aef-c1b7-477b-9a60-345b72f787f3}</x14:id>
        </ext>
      </extLst>
    </cfRule>
  </conditionalFormatting>
  <conditionalFormatting sqref="D99:E99">
    <cfRule type="dataBar" priority="9">
      <dataBar>
        <cfvo type="min"/>
        <cfvo type="max"/>
        <color rgb="FF638EC6"/>
      </dataBar>
      <extLst>
        <ext xmlns:x14="http://schemas.microsoft.com/office/spreadsheetml/2009/9/main" uri="{B025F937-C7B1-47D3-B67F-A62EFF666E3E}">
          <x14:id>{2204ab0a-ec0f-4d9d-b427-af0392b21823}</x14:id>
        </ext>
      </extLst>
    </cfRule>
  </conditionalFormatting>
  <conditionalFormatting sqref="X99:Y99">
    <cfRule type="dataBar" priority="3">
      <dataBar>
        <cfvo type="min"/>
        <cfvo type="max"/>
        <color rgb="FF638EC6"/>
      </dataBar>
      <extLst>
        <ext xmlns:x14="http://schemas.microsoft.com/office/spreadsheetml/2009/9/main" uri="{B025F937-C7B1-47D3-B67F-A62EFF666E3E}">
          <x14:id>{1f4ba143-e96c-4080-a09a-72f0508a698c}</x14:id>
        </ext>
      </extLst>
    </cfRule>
  </conditionalFormatting>
  <conditionalFormatting sqref="D159:E159">
    <cfRule type="dataBar" priority="7">
      <dataBar>
        <cfvo type="min"/>
        <cfvo type="max"/>
        <color rgb="FF638EC6"/>
      </dataBar>
      <extLst>
        <ext xmlns:x14="http://schemas.microsoft.com/office/spreadsheetml/2009/9/main" uri="{B025F937-C7B1-47D3-B67F-A62EFF666E3E}">
          <x14:id>{f9057456-bbf0-4a64-87bf-8f40fc90f3a0}</x14:id>
        </ext>
      </extLst>
    </cfRule>
  </conditionalFormatting>
  <conditionalFormatting sqref="X159:Y159">
    <cfRule type="dataBar" priority="1">
      <dataBar>
        <cfvo type="min"/>
        <cfvo type="max"/>
        <color rgb="FF638EC6"/>
      </dataBar>
      <extLst>
        <ext xmlns:x14="http://schemas.microsoft.com/office/spreadsheetml/2009/9/main" uri="{B025F937-C7B1-47D3-B67F-A62EFF666E3E}">
          <x14:id>{f9aeae5c-8e3d-4ce2-906d-fabc869ae90d}</x14:id>
        </ext>
      </extLst>
    </cfRule>
  </conditionalFormatting>
  <dataValidations count="1">
    <dataValidation type="list" allowBlank="1" showInputMessage="1" showErrorMessage="1" sqref="G8:G30 G35:G69 G80:G90 G95:G129 G140:G151 G157:G177">
      <formula1>設定!$B:$B</formula1>
    </dataValidation>
  </dataValidations>
  <pageMargins left="0.393700787401575" right="0.393700787401575" top="0.984251968503937" bottom="0.984251968503937" header="0.511811023622047" footer="0.511811023622047"/>
  <pageSetup paperSize="9" scale="22" fitToHeight="0" orientation="portrait"/>
  <headerFooter>
    <oddHeader>&amp;C&amp;"Arial,太字"&amp;14&amp;A&amp;R&amp;D &amp;T</oddHeader>
    <oddFooter>&amp;C&amp;P/&amp;N&amp;R&amp;F</oddFooter>
  </headerFooter>
  <rowBreaks count="1" manualBreakCount="1">
    <brk id="31" max="16383" man="1"/>
  </rowBreaks>
  <drawing r:id="rId1"/>
  <extLst>
    <ext xmlns:x14="http://schemas.microsoft.com/office/spreadsheetml/2009/9/main" uri="{78C0D931-6437-407d-A8EE-F0AAD7539E65}">
      <x14:conditionalFormattings>
        <x14:conditionalFormatting xmlns:xm="http://schemas.microsoft.com/office/excel/2006/main">
          <x14:cfRule type="dataBar" id="{d6355d9f-4e04-4a21-9860-0eb79e9ca912}">
            <x14:dataBar minLength="0" maxLength="100" negativeBarColorSameAsPositive="1" axisPosition="none">
              <x14:cfvo type="min"/>
              <x14:cfvo type="max"/>
              <x14:axisColor indexed="65"/>
            </x14:dataBar>
          </x14:cfRule>
          <xm:sqref>D39:E39</xm:sqref>
        </x14:conditionalFormatting>
        <x14:conditionalFormatting xmlns:xm="http://schemas.microsoft.com/office/excel/2006/main">
          <x14:cfRule type="dataBar" id="{09ad0aef-c1b7-477b-9a60-345b72f787f3}">
            <x14:dataBar minLength="0" maxLength="100" negativeBarColorSameAsPositive="1" axisPosition="none">
              <x14:cfvo type="min"/>
              <x14:cfvo type="max"/>
              <x14:axisColor indexed="65"/>
            </x14:dataBar>
          </x14:cfRule>
          <xm:sqref>X39:Y39</xm:sqref>
        </x14:conditionalFormatting>
        <x14:conditionalFormatting xmlns:xm="http://schemas.microsoft.com/office/excel/2006/main">
          <x14:cfRule type="dataBar" id="{2204ab0a-ec0f-4d9d-b427-af0392b21823}">
            <x14:dataBar minLength="0" maxLength="100" negativeBarColorSameAsPositive="1" axisPosition="none">
              <x14:cfvo type="min"/>
              <x14:cfvo type="max"/>
              <x14:axisColor indexed="65"/>
            </x14:dataBar>
          </x14:cfRule>
          <xm:sqref>D99:E99</xm:sqref>
        </x14:conditionalFormatting>
        <x14:conditionalFormatting xmlns:xm="http://schemas.microsoft.com/office/excel/2006/main">
          <x14:cfRule type="dataBar" id="{1f4ba143-e96c-4080-a09a-72f0508a698c}">
            <x14:dataBar minLength="0" maxLength="100" negativeBarColorSameAsPositive="1" axisPosition="none">
              <x14:cfvo type="min"/>
              <x14:cfvo type="max"/>
              <x14:axisColor indexed="65"/>
            </x14:dataBar>
          </x14:cfRule>
          <xm:sqref>X99:Y99</xm:sqref>
        </x14:conditionalFormatting>
        <x14:conditionalFormatting xmlns:xm="http://schemas.microsoft.com/office/excel/2006/main">
          <x14:cfRule type="dataBar" id="{f9057456-bbf0-4a64-87bf-8f40fc90f3a0}">
            <x14:dataBar minLength="0" maxLength="100" negativeBarColorSameAsPositive="1" axisPosition="none">
              <x14:cfvo type="min"/>
              <x14:cfvo type="max"/>
              <x14:axisColor indexed="65"/>
            </x14:dataBar>
          </x14:cfRule>
          <xm:sqref>D159:E159</xm:sqref>
        </x14:conditionalFormatting>
        <x14:conditionalFormatting xmlns:xm="http://schemas.microsoft.com/office/excel/2006/main">
          <x14:cfRule type="dataBar" id="{f9aeae5c-8e3d-4ce2-906d-fabc869ae90d}">
            <x14:dataBar minLength="0" maxLength="100" negativeBarColorSameAsPositive="1" axisPosition="none">
              <x14:cfvo type="min"/>
              <x14:cfvo type="max"/>
              <x14:axisColor indexed="65"/>
            </x14:dataBar>
          </x14:cfRule>
          <xm:sqref>X159:Y159</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tabColor rgb="FF00B0F0"/>
    <pageSetUpPr fitToPage="1"/>
  </sheetPr>
  <dimension ref="A1:AW191"/>
  <sheetViews>
    <sheetView showGridLines="0" view="pageBreakPreview" zoomScale="115" zoomScaleNormal="85" workbookViewId="0">
      <pane xSplit="2" ySplit="3" topLeftCell="C182" activePane="bottomRight" state="frozen"/>
      <selection/>
      <selection pane="topRight"/>
      <selection pane="bottomLeft"/>
      <selection pane="bottomRight" activeCell="E175" sqref="E175"/>
    </sheetView>
  </sheetViews>
  <sheetFormatPr defaultColWidth="9.33333333333333" defaultRowHeight="11.25"/>
  <cols>
    <col min="1" max="1" width="4.33333333333333" style="2" customWidth="1"/>
    <col min="2" max="2" width="13.3333333333333" style="3" customWidth="1"/>
    <col min="3" max="3" width="30.7777777777778" style="2" customWidth="1"/>
    <col min="4" max="4" width="30.7777777777778" style="3" customWidth="1"/>
    <col min="5" max="5" width="36.7777777777778" style="2" customWidth="1"/>
    <col min="6" max="7" width="10.7777777777778" style="2" customWidth="1"/>
    <col min="8" max="8" width="6.77777777777778" style="2" customWidth="1"/>
    <col min="9" max="9" width="5.77777777777778" style="4" customWidth="1"/>
    <col min="10" max="10" width="10.7777777777778" style="2" customWidth="1"/>
    <col min="11" max="11" width="18.7777777777778" style="2" customWidth="1"/>
    <col min="12" max="12" width="8.77777777777778" style="2" customWidth="1"/>
    <col min="13" max="13" width="25.4444444444444" style="2" customWidth="1"/>
    <col min="14" max="14" width="19.3333333333333" style="5" customWidth="1"/>
    <col min="15" max="15" width="11.1111111111111" style="5" customWidth="1"/>
    <col min="16" max="20" width="9.33333333333333" style="5"/>
    <col min="21" max="21" width="3.33333333333333" style="5" customWidth="1"/>
    <col min="22" max="23" width="9.33333333333333" style="5"/>
    <col min="24" max="24" width="3.33333333333333" style="48" customWidth="1"/>
    <col min="25" max="26" width="9.33333333333333" style="5" customWidth="1"/>
    <col min="27" max="27" width="4.33333333333333" style="2" customWidth="1"/>
    <col min="28" max="28" width="17.1111111111111" style="3" customWidth="1"/>
    <col min="29" max="29" width="30.7777777777778" style="2" customWidth="1"/>
    <col min="30" max="30" width="30.7777777777778" style="3" customWidth="1"/>
    <col min="31" max="31" width="43.6666666666667" style="2" customWidth="1"/>
    <col min="32" max="33" width="10.7777777777778" style="2" customWidth="1"/>
    <col min="34" max="34" width="6.77777777777778" style="2" customWidth="1"/>
    <col min="35" max="35" width="12.3333333333333" style="4" customWidth="1"/>
    <col min="36" max="36" width="13.3333333333333" style="2" customWidth="1"/>
    <col min="37" max="37" width="18.7777777777778" style="2" customWidth="1"/>
    <col min="38" max="38" width="8.77777777777778" style="2" customWidth="1"/>
    <col min="39" max="39" width="37.7777777777778" style="2" customWidth="1"/>
    <col min="40" max="40" width="19.3333333333333" style="5" customWidth="1"/>
    <col min="41" max="41" width="20" style="5" customWidth="1"/>
    <col min="42" max="46" width="9.33333333333333" style="5"/>
    <col min="47" max="47" width="3.33333333333333" style="5" customWidth="1"/>
    <col min="48" max="16384" width="9.33333333333333" style="5"/>
  </cols>
  <sheetData>
    <row r="1" s="2" customFormat="1" spans="1:43">
      <c r="A1" s="6"/>
      <c r="B1" s="7" t="s">
        <v>15</v>
      </c>
      <c r="C1" s="8"/>
      <c r="D1" s="9"/>
      <c r="I1" s="37"/>
      <c r="N1" s="5" t="s">
        <v>1294</v>
      </c>
      <c r="O1" s="5" t="s">
        <v>1295</v>
      </c>
      <c r="P1" s="5" t="s">
        <v>1296</v>
      </c>
      <c r="Q1" s="5"/>
      <c r="X1" s="70"/>
      <c r="AA1" s="6"/>
      <c r="AB1" s="7" t="s">
        <v>86</v>
      </c>
      <c r="AC1" s="8"/>
      <c r="AD1" s="9"/>
      <c r="AI1" s="37"/>
      <c r="AN1" s="5" t="s">
        <v>1297</v>
      </c>
      <c r="AO1" s="5" t="s">
        <v>1298</v>
      </c>
      <c r="AP1" s="5" t="s">
        <v>1299</v>
      </c>
      <c r="AQ1" s="5"/>
    </row>
    <row r="2" s="2" customFormat="1" spans="1:43">
      <c r="A2" s="10"/>
      <c r="B2" s="11" t="s">
        <v>124</v>
      </c>
      <c r="C2" s="8"/>
      <c r="D2" s="9"/>
      <c r="F2" s="3"/>
      <c r="G2" s="3"/>
      <c r="H2" s="3"/>
      <c r="I2" s="37"/>
      <c r="J2" s="3"/>
      <c r="K2" s="3"/>
      <c r="L2" s="3"/>
      <c r="M2" s="38"/>
      <c r="N2" s="5" t="s">
        <v>1300</v>
      </c>
      <c r="O2" s="5" t="s">
        <v>1301</v>
      </c>
      <c r="P2" s="5"/>
      <c r="Q2" s="5"/>
      <c r="X2" s="70"/>
      <c r="AA2" s="10"/>
      <c r="AB2" s="11" t="s">
        <v>125</v>
      </c>
      <c r="AC2" s="8"/>
      <c r="AD2" s="9"/>
      <c r="AF2" s="3"/>
      <c r="AG2" s="3"/>
      <c r="AH2" s="3"/>
      <c r="AI2" s="37"/>
      <c r="AJ2" s="3"/>
      <c r="AK2" s="3"/>
      <c r="AL2" s="3"/>
      <c r="AM2" s="38"/>
      <c r="AN2" s="5" t="s">
        <v>1302</v>
      </c>
      <c r="AO2" s="5" t="s">
        <v>1303</v>
      </c>
      <c r="AP2" s="5"/>
      <c r="AQ2" s="5"/>
    </row>
    <row r="3" s="2" customFormat="1" ht="22.5" spans="1:43">
      <c r="A3" s="12" t="s">
        <v>0</v>
      </c>
      <c r="B3" s="13"/>
      <c r="C3" s="14" t="s">
        <v>126</v>
      </c>
      <c r="D3" s="15" t="s">
        <v>15</v>
      </c>
      <c r="E3" s="14" t="s">
        <v>16</v>
      </c>
      <c r="F3" s="16" t="s">
        <v>127</v>
      </c>
      <c r="G3" s="26" t="s">
        <v>127</v>
      </c>
      <c r="H3" s="14" t="s">
        <v>128</v>
      </c>
      <c r="I3" s="39" t="s">
        <v>129</v>
      </c>
      <c r="J3" s="14" t="s">
        <v>130</v>
      </c>
      <c r="K3" s="14" t="s">
        <v>131</v>
      </c>
      <c r="L3" s="14" t="s">
        <v>132</v>
      </c>
      <c r="M3" s="14" t="s">
        <v>6</v>
      </c>
      <c r="Q3" s="3"/>
      <c r="X3" s="70"/>
      <c r="AA3" s="12" t="s">
        <v>0</v>
      </c>
      <c r="AB3" s="13"/>
      <c r="AC3" s="14" t="s">
        <v>133</v>
      </c>
      <c r="AD3" s="15" t="s">
        <v>86</v>
      </c>
      <c r="AE3" s="14" t="s">
        <v>87</v>
      </c>
      <c r="AF3" s="16" t="s">
        <v>134</v>
      </c>
      <c r="AG3" s="14" t="s">
        <v>134</v>
      </c>
      <c r="AH3" s="14" t="s">
        <v>128</v>
      </c>
      <c r="AI3" s="39" t="s">
        <v>135</v>
      </c>
      <c r="AJ3" s="14" t="s">
        <v>130</v>
      </c>
      <c r="AK3" s="14" t="s">
        <v>136</v>
      </c>
      <c r="AL3" s="14" t="s">
        <v>132</v>
      </c>
      <c r="AM3" s="14" t="s">
        <v>137</v>
      </c>
      <c r="AQ3" s="3"/>
    </row>
    <row r="4" spans="46:49">
      <c r="AT4" s="2"/>
      <c r="AU4" s="2"/>
      <c r="AV4" s="2"/>
      <c r="AW4" s="2"/>
    </row>
    <row r="5" spans="1:49">
      <c r="A5" s="6"/>
      <c r="B5" s="7" t="s">
        <v>15</v>
      </c>
      <c r="C5" s="49" t="s">
        <v>68</v>
      </c>
      <c r="D5" s="50"/>
      <c r="I5" s="37"/>
      <c r="AA5" s="6"/>
      <c r="AB5" s="7" t="s">
        <v>86</v>
      </c>
      <c r="AC5" s="49" t="s">
        <v>68</v>
      </c>
      <c r="AD5" s="50"/>
      <c r="AI5" s="37"/>
      <c r="AT5" s="2"/>
      <c r="AU5" s="2"/>
      <c r="AV5" s="2"/>
      <c r="AW5" s="2"/>
    </row>
    <row r="6" spans="1:49">
      <c r="A6" s="10"/>
      <c r="B6" s="11" t="s">
        <v>124</v>
      </c>
      <c r="C6" s="49" t="str">
        <f>テーブル一覧!E22</f>
        <v>T_SOD_IIJ_SEND</v>
      </c>
      <c r="D6" s="50"/>
      <c r="E6" s="2" t="s">
        <v>356</v>
      </c>
      <c r="F6" s="3"/>
      <c r="G6" s="3"/>
      <c r="H6" s="3"/>
      <c r="I6" s="37"/>
      <c r="J6" s="3"/>
      <c r="K6" s="3"/>
      <c r="L6" s="3"/>
      <c r="M6" s="38"/>
      <c r="N6" s="5" t="s">
        <v>1294</v>
      </c>
      <c r="O6" s="5" t="s">
        <v>1295</v>
      </c>
      <c r="P6" s="5" t="s">
        <v>1296</v>
      </c>
      <c r="AA6" s="10"/>
      <c r="AB6" s="11" t="s">
        <v>125</v>
      </c>
      <c r="AC6" s="49" t="e">
        <f>[1]テーブル一覧!AE22</f>
        <v>#REF!</v>
      </c>
      <c r="AD6" s="50"/>
      <c r="AE6" s="2" t="s">
        <v>356</v>
      </c>
      <c r="AF6" s="3"/>
      <c r="AG6" s="3"/>
      <c r="AH6" s="3"/>
      <c r="AI6" s="37"/>
      <c r="AJ6" s="3"/>
      <c r="AK6" s="3"/>
      <c r="AL6" s="3"/>
      <c r="AM6" s="38"/>
      <c r="AN6" s="5" t="s">
        <v>1297</v>
      </c>
      <c r="AO6" s="5" t="s">
        <v>1298</v>
      </c>
      <c r="AP6" s="5" t="s">
        <v>1299</v>
      </c>
      <c r="AT6" s="2"/>
      <c r="AU6" s="2"/>
      <c r="AV6" s="2"/>
      <c r="AW6" s="2"/>
    </row>
    <row r="7" ht="22.5" spans="1:49">
      <c r="A7" s="12" t="s">
        <v>0</v>
      </c>
      <c r="B7" s="13"/>
      <c r="C7" s="14" t="s">
        <v>126</v>
      </c>
      <c r="D7" s="15" t="s">
        <v>15</v>
      </c>
      <c r="E7" s="14" t="s">
        <v>16</v>
      </c>
      <c r="F7" s="16" t="s">
        <v>127</v>
      </c>
      <c r="G7" s="26" t="s">
        <v>127</v>
      </c>
      <c r="H7" s="14" t="s">
        <v>128</v>
      </c>
      <c r="I7" s="39" t="s">
        <v>129</v>
      </c>
      <c r="J7" s="14" t="s">
        <v>130</v>
      </c>
      <c r="K7" s="14" t="s">
        <v>131</v>
      </c>
      <c r="L7" s="14" t="s">
        <v>132</v>
      </c>
      <c r="M7" s="14" t="s">
        <v>6</v>
      </c>
      <c r="N7" s="5" t="s">
        <v>1300</v>
      </c>
      <c r="O7" s="5" t="s">
        <v>1301</v>
      </c>
      <c r="AA7" s="12" t="s">
        <v>0</v>
      </c>
      <c r="AB7" s="13"/>
      <c r="AC7" s="14" t="s">
        <v>133</v>
      </c>
      <c r="AD7" s="15" t="s">
        <v>86</v>
      </c>
      <c r="AE7" s="14" t="s">
        <v>87</v>
      </c>
      <c r="AF7" s="16" t="s">
        <v>134</v>
      </c>
      <c r="AG7" s="14" t="s">
        <v>134</v>
      </c>
      <c r="AH7" s="14" t="s">
        <v>128</v>
      </c>
      <c r="AI7" s="39" t="s">
        <v>135</v>
      </c>
      <c r="AJ7" s="14" t="s">
        <v>130</v>
      </c>
      <c r="AK7" s="14" t="s">
        <v>136</v>
      </c>
      <c r="AL7" s="14" t="s">
        <v>132</v>
      </c>
      <c r="AM7" s="14" t="s">
        <v>137</v>
      </c>
      <c r="AN7" s="5" t="s">
        <v>1302</v>
      </c>
      <c r="AO7" s="5" t="s">
        <v>1303</v>
      </c>
      <c r="AT7" s="2"/>
      <c r="AU7" s="2"/>
      <c r="AV7" s="2"/>
      <c r="AW7" s="2"/>
    </row>
    <row r="8" s="2" customFormat="1" spans="1:43">
      <c r="A8" s="32">
        <v>1</v>
      </c>
      <c r="B8" s="51"/>
      <c r="C8" s="32" t="s">
        <v>139</v>
      </c>
      <c r="D8" s="52" t="s">
        <v>300</v>
      </c>
      <c r="E8" s="32"/>
      <c r="F8" s="32" t="s">
        <v>301</v>
      </c>
      <c r="G8" s="32" t="s">
        <v>302</v>
      </c>
      <c r="H8" s="32" t="s">
        <v>8</v>
      </c>
      <c r="I8" s="64" t="s">
        <v>22</v>
      </c>
      <c r="J8" s="32"/>
      <c r="K8" s="32" t="s">
        <v>303</v>
      </c>
      <c r="L8" s="32" t="s">
        <v>188</v>
      </c>
      <c r="M8" s="32"/>
      <c r="P8" s="2" t="s">
        <v>22</v>
      </c>
      <c r="Q8" s="3"/>
      <c r="X8" s="70"/>
      <c r="AA8" s="32">
        <v>1</v>
      </c>
      <c r="AB8" s="51"/>
      <c r="AC8" s="32" t="s">
        <v>139</v>
      </c>
      <c r="AD8" s="52" t="s">
        <v>300</v>
      </c>
      <c r="AE8" s="32"/>
      <c r="AF8" s="32" t="s">
        <v>301</v>
      </c>
      <c r="AG8" s="79" t="s">
        <v>302</v>
      </c>
      <c r="AH8" s="32" t="s">
        <v>8</v>
      </c>
      <c r="AI8" s="64" t="s">
        <v>22</v>
      </c>
      <c r="AJ8" s="32"/>
      <c r="AK8" s="32" t="s">
        <v>303</v>
      </c>
      <c r="AL8" s="32" t="s">
        <v>188</v>
      </c>
      <c r="AM8" s="32"/>
      <c r="AP8" s="2" t="s">
        <v>22</v>
      </c>
      <c r="AQ8" s="3"/>
    </row>
    <row r="9" s="2" customFormat="1" ht="22.5" spans="1:43">
      <c r="A9" s="32">
        <f>A8+1</f>
        <v>2</v>
      </c>
      <c r="B9" s="51"/>
      <c r="C9" s="32" t="s">
        <v>1111</v>
      </c>
      <c r="D9" s="32" t="s">
        <v>1112</v>
      </c>
      <c r="E9" s="32" t="s">
        <v>1304</v>
      </c>
      <c r="F9" s="32" t="s">
        <v>141</v>
      </c>
      <c r="G9" s="31" t="s">
        <v>142</v>
      </c>
      <c r="H9" s="32">
        <v>15</v>
      </c>
      <c r="I9" s="64" t="s">
        <v>22</v>
      </c>
      <c r="J9" s="32"/>
      <c r="K9" s="32"/>
      <c r="L9" s="32" t="s">
        <v>1305</v>
      </c>
      <c r="M9" s="32"/>
      <c r="N9" s="2" t="s">
        <v>22</v>
      </c>
      <c r="O9" s="2" t="s">
        <v>22</v>
      </c>
      <c r="P9" s="2" t="s">
        <v>22</v>
      </c>
      <c r="Q9" s="3"/>
      <c r="X9" s="70"/>
      <c r="AA9" s="32">
        <f t="shared" ref="AA9:AA45" si="0">AA8+1</f>
        <v>2</v>
      </c>
      <c r="AB9" s="51"/>
      <c r="AC9" s="32" t="s">
        <v>1111</v>
      </c>
      <c r="AD9" s="32" t="s">
        <v>1112</v>
      </c>
      <c r="AE9" s="32" t="s">
        <v>1306</v>
      </c>
      <c r="AF9" s="32" t="s">
        <v>141</v>
      </c>
      <c r="AG9" s="31" t="s">
        <v>142</v>
      </c>
      <c r="AH9" s="67">
        <v>15</v>
      </c>
      <c r="AI9" s="64" t="s">
        <v>22</v>
      </c>
      <c r="AJ9" s="32"/>
      <c r="AK9" s="32"/>
      <c r="AL9" s="32" t="s">
        <v>1305</v>
      </c>
      <c r="AM9" s="32"/>
      <c r="AN9" s="2" t="s">
        <v>22</v>
      </c>
      <c r="AO9" s="2" t="s">
        <v>22</v>
      </c>
      <c r="AP9" s="2" t="s">
        <v>22</v>
      </c>
      <c r="AQ9" s="3"/>
    </row>
    <row r="10" s="46" customFormat="1" ht="22.5" spans="1:49">
      <c r="A10" s="32">
        <f>A9+1</f>
        <v>3</v>
      </c>
      <c r="B10" s="51"/>
      <c r="C10" s="32" t="s">
        <v>1307</v>
      </c>
      <c r="D10" s="52" t="s">
        <v>1308</v>
      </c>
      <c r="E10" s="32" t="s">
        <v>1309</v>
      </c>
      <c r="F10" s="32" t="s">
        <v>153</v>
      </c>
      <c r="G10" s="31" t="s">
        <v>254</v>
      </c>
      <c r="H10" s="32" t="s">
        <v>8</v>
      </c>
      <c r="I10" s="64" t="s">
        <v>22</v>
      </c>
      <c r="J10" s="32"/>
      <c r="K10" s="32"/>
      <c r="L10" s="32" t="s">
        <v>315</v>
      </c>
      <c r="M10" s="32"/>
      <c r="N10" s="5"/>
      <c r="O10" s="2" t="s">
        <v>22</v>
      </c>
      <c r="P10" s="2" t="s">
        <v>22</v>
      </c>
      <c r="Q10" s="5"/>
      <c r="R10" s="5"/>
      <c r="S10" s="5"/>
      <c r="T10" s="5"/>
      <c r="U10" s="2"/>
      <c r="X10" s="70"/>
      <c r="AA10" s="32">
        <f t="shared" si="0"/>
        <v>3</v>
      </c>
      <c r="AB10" s="51"/>
      <c r="AC10" s="32" t="s">
        <v>1307</v>
      </c>
      <c r="AD10" s="52" t="s">
        <v>1308</v>
      </c>
      <c r="AE10" s="32" t="s">
        <v>1310</v>
      </c>
      <c r="AF10" s="32" t="s">
        <v>153</v>
      </c>
      <c r="AG10" s="31" t="s">
        <v>254</v>
      </c>
      <c r="AH10" s="32" t="s">
        <v>8</v>
      </c>
      <c r="AI10" s="64" t="s">
        <v>22</v>
      </c>
      <c r="AJ10" s="32"/>
      <c r="AK10" s="32"/>
      <c r="AL10" s="32" t="s">
        <v>315</v>
      </c>
      <c r="AM10" s="32"/>
      <c r="AN10" s="5"/>
      <c r="AO10" s="2" t="s">
        <v>22</v>
      </c>
      <c r="AP10" s="2" t="s">
        <v>22</v>
      </c>
      <c r="AQ10" s="5"/>
      <c r="AR10" s="5"/>
      <c r="AS10" s="5"/>
      <c r="AT10" s="2"/>
      <c r="AU10" s="2"/>
      <c r="AV10" s="2"/>
      <c r="AW10" s="2"/>
    </row>
    <row r="11" s="2" customFormat="1" ht="67.5" spans="1:43">
      <c r="A11" s="32">
        <f t="shared" ref="A11:A55" si="1">A10+1</f>
        <v>4</v>
      </c>
      <c r="B11" s="51"/>
      <c r="C11" s="32" t="s">
        <v>344</v>
      </c>
      <c r="D11" s="52" t="s">
        <v>373</v>
      </c>
      <c r="E11" s="32" t="s">
        <v>1311</v>
      </c>
      <c r="F11" s="32" t="s">
        <v>153</v>
      </c>
      <c r="G11" s="31" t="s">
        <v>254</v>
      </c>
      <c r="H11" s="32" t="s">
        <v>8</v>
      </c>
      <c r="I11" s="64" t="s">
        <v>22</v>
      </c>
      <c r="J11" s="32">
        <v>0</v>
      </c>
      <c r="K11" s="32"/>
      <c r="L11" s="32" t="s">
        <v>1312</v>
      </c>
      <c r="M11" s="32"/>
      <c r="N11" s="2" t="s">
        <v>22</v>
      </c>
      <c r="O11" s="2" t="s">
        <v>22</v>
      </c>
      <c r="P11" s="2" t="s">
        <v>22</v>
      </c>
      <c r="Q11" s="3"/>
      <c r="X11" s="70"/>
      <c r="AA11" s="32">
        <f t="shared" si="0"/>
        <v>4</v>
      </c>
      <c r="AB11" s="51"/>
      <c r="AC11" s="32" t="s">
        <v>344</v>
      </c>
      <c r="AD11" s="52" t="s">
        <v>373</v>
      </c>
      <c r="AE11" s="32" t="s">
        <v>1313</v>
      </c>
      <c r="AF11" s="32" t="s">
        <v>153</v>
      </c>
      <c r="AG11" s="31" t="s">
        <v>254</v>
      </c>
      <c r="AH11" s="32" t="s">
        <v>8</v>
      </c>
      <c r="AI11" s="64" t="s">
        <v>22</v>
      </c>
      <c r="AJ11" s="32">
        <v>0</v>
      </c>
      <c r="AK11" s="32"/>
      <c r="AL11" s="32" t="s">
        <v>1312</v>
      </c>
      <c r="AM11" s="32"/>
      <c r="AN11" s="2" t="s">
        <v>22</v>
      </c>
      <c r="AO11" s="2" t="s">
        <v>22</v>
      </c>
      <c r="AP11" s="2" t="s">
        <v>22</v>
      </c>
      <c r="AQ11" s="3"/>
    </row>
    <row r="12" s="2" customFormat="1" spans="1:43">
      <c r="A12" s="53">
        <f t="shared" si="1"/>
        <v>5</v>
      </c>
      <c r="B12" s="54" t="s">
        <v>1314</v>
      </c>
      <c r="C12" s="53" t="s">
        <v>1166</v>
      </c>
      <c r="D12" s="55" t="s">
        <v>1167</v>
      </c>
      <c r="E12" s="53"/>
      <c r="F12" s="53" t="s">
        <v>153</v>
      </c>
      <c r="G12" s="53" t="s">
        <v>254</v>
      </c>
      <c r="H12" s="53" t="s">
        <v>8</v>
      </c>
      <c r="I12" s="65" t="s">
        <v>22</v>
      </c>
      <c r="J12" s="53">
        <v>0</v>
      </c>
      <c r="K12" s="53"/>
      <c r="L12" s="53"/>
      <c r="M12" s="56" t="s">
        <v>230</v>
      </c>
      <c r="Q12" s="3"/>
      <c r="X12" s="70"/>
      <c r="AA12" s="32">
        <f t="shared" si="0"/>
        <v>5</v>
      </c>
      <c r="AB12" s="51"/>
      <c r="AC12" s="32" t="s">
        <v>1166</v>
      </c>
      <c r="AD12" s="52" t="s">
        <v>1167</v>
      </c>
      <c r="AE12" s="32"/>
      <c r="AF12" s="32" t="s">
        <v>153</v>
      </c>
      <c r="AG12" s="31" t="s">
        <v>254</v>
      </c>
      <c r="AH12" s="32" t="s">
        <v>8</v>
      </c>
      <c r="AI12" s="64" t="s">
        <v>22</v>
      </c>
      <c r="AJ12" s="32">
        <v>0</v>
      </c>
      <c r="AK12" s="32"/>
      <c r="AL12" s="32"/>
      <c r="AM12" s="32"/>
      <c r="AQ12" s="3"/>
    </row>
    <row r="13" s="2" customFormat="1" ht="45" spans="1:43">
      <c r="A13" s="56">
        <f t="shared" si="1"/>
        <v>6</v>
      </c>
      <c r="B13" s="57"/>
      <c r="C13" s="56" t="s">
        <v>411</v>
      </c>
      <c r="D13" s="58" t="s">
        <v>412</v>
      </c>
      <c r="E13" s="56" t="s">
        <v>1315</v>
      </c>
      <c r="F13" s="56" t="s">
        <v>301</v>
      </c>
      <c r="G13" s="56" t="s">
        <v>306</v>
      </c>
      <c r="H13" s="56" t="s">
        <v>8</v>
      </c>
      <c r="I13" s="66"/>
      <c r="J13" s="56"/>
      <c r="K13" s="56"/>
      <c r="L13" s="56"/>
      <c r="M13" s="56" t="s">
        <v>230</v>
      </c>
      <c r="Q13" s="3"/>
      <c r="X13" s="70"/>
      <c r="AA13" s="71">
        <f t="shared" si="0"/>
        <v>6</v>
      </c>
      <c r="AB13" s="72"/>
      <c r="AC13" s="71" t="s">
        <v>411</v>
      </c>
      <c r="AD13" s="73" t="s">
        <v>412</v>
      </c>
      <c r="AE13" s="71" t="s">
        <v>1315</v>
      </c>
      <c r="AF13" s="71" t="s">
        <v>301</v>
      </c>
      <c r="AG13" s="71" t="s">
        <v>306</v>
      </c>
      <c r="AH13" s="71" t="s">
        <v>8</v>
      </c>
      <c r="AI13" s="80"/>
      <c r="AJ13" s="71"/>
      <c r="AK13" s="71"/>
      <c r="AL13" s="71"/>
      <c r="AM13" s="71" t="s">
        <v>230</v>
      </c>
      <c r="AQ13" s="3"/>
    </row>
    <row r="14" s="2" customFormat="1" ht="409.5" spans="1:43">
      <c r="A14" s="32">
        <f t="shared" si="1"/>
        <v>7</v>
      </c>
      <c r="B14" s="59" t="s">
        <v>393</v>
      </c>
      <c r="C14" s="32" t="s">
        <v>1316</v>
      </c>
      <c r="D14" s="52" t="s">
        <v>1252</v>
      </c>
      <c r="E14" s="32" t="s">
        <v>396</v>
      </c>
      <c r="F14" s="32" t="s">
        <v>141</v>
      </c>
      <c r="G14" s="31" t="s">
        <v>142</v>
      </c>
      <c r="H14" s="32">
        <v>5</v>
      </c>
      <c r="I14" s="64"/>
      <c r="J14" s="32"/>
      <c r="K14" s="32"/>
      <c r="L14" s="32"/>
      <c r="M14" s="32"/>
      <c r="P14" s="2" t="s">
        <v>22</v>
      </c>
      <c r="Q14" s="3"/>
      <c r="X14" s="70"/>
      <c r="AA14" s="32">
        <f t="shared" si="0"/>
        <v>7</v>
      </c>
      <c r="AB14" s="51"/>
      <c r="AC14" s="32" t="s">
        <v>1316</v>
      </c>
      <c r="AD14" s="52" t="s">
        <v>1252</v>
      </c>
      <c r="AE14" s="74" t="s">
        <v>1117</v>
      </c>
      <c r="AF14" s="32" t="s">
        <v>141</v>
      </c>
      <c r="AG14" s="31" t="s">
        <v>142</v>
      </c>
      <c r="AH14" s="32">
        <v>5</v>
      </c>
      <c r="AI14" s="64"/>
      <c r="AJ14" s="32"/>
      <c r="AK14" s="32"/>
      <c r="AL14" s="32"/>
      <c r="AM14" s="32"/>
      <c r="AP14" s="2" t="s">
        <v>22</v>
      </c>
      <c r="AQ14" s="3"/>
    </row>
    <row r="15" ht="22.5" spans="1:49">
      <c r="A15" s="32">
        <f t="shared" si="1"/>
        <v>8</v>
      </c>
      <c r="B15" s="51"/>
      <c r="C15" s="32" t="s">
        <v>1317</v>
      </c>
      <c r="D15" s="52" t="s">
        <v>1318</v>
      </c>
      <c r="E15" s="32" t="s">
        <v>1319</v>
      </c>
      <c r="F15" s="32" t="s">
        <v>141</v>
      </c>
      <c r="G15" s="31" t="s">
        <v>142</v>
      </c>
      <c r="H15" s="32">
        <v>60</v>
      </c>
      <c r="I15" s="64"/>
      <c r="J15" s="32"/>
      <c r="K15" s="32"/>
      <c r="L15" s="32"/>
      <c r="M15" s="32"/>
      <c r="N15" s="2"/>
      <c r="P15" s="5" t="s">
        <v>22</v>
      </c>
      <c r="AA15" s="32">
        <f t="shared" si="0"/>
        <v>8</v>
      </c>
      <c r="AB15" s="51"/>
      <c r="AC15" s="32" t="s">
        <v>1317</v>
      </c>
      <c r="AD15" s="52" t="s">
        <v>1318</v>
      </c>
      <c r="AE15" s="32" t="s">
        <v>1320</v>
      </c>
      <c r="AF15" s="32" t="s">
        <v>141</v>
      </c>
      <c r="AG15" s="31" t="s">
        <v>142</v>
      </c>
      <c r="AH15" s="32">
        <v>60</v>
      </c>
      <c r="AI15" s="64"/>
      <c r="AJ15" s="32"/>
      <c r="AK15" s="32"/>
      <c r="AL15" s="32"/>
      <c r="AM15" s="32"/>
      <c r="AN15" s="2"/>
      <c r="AP15" s="5" t="s">
        <v>22</v>
      </c>
      <c r="AT15" s="2"/>
      <c r="AU15" s="2"/>
      <c r="AV15" s="2"/>
      <c r="AW15" s="2"/>
    </row>
    <row r="16" spans="1:49">
      <c r="A16" s="32">
        <f t="shared" si="1"/>
        <v>9</v>
      </c>
      <c r="B16" s="51"/>
      <c r="C16" s="32" t="s">
        <v>1321</v>
      </c>
      <c r="D16" s="52" t="s">
        <v>1322</v>
      </c>
      <c r="E16" s="32" t="s">
        <v>1323</v>
      </c>
      <c r="F16" s="32" t="s">
        <v>141</v>
      </c>
      <c r="G16" s="31" t="s">
        <v>142</v>
      </c>
      <c r="H16" s="32">
        <v>20</v>
      </c>
      <c r="I16" s="64"/>
      <c r="J16" s="32"/>
      <c r="K16" s="32"/>
      <c r="L16" s="32"/>
      <c r="M16" s="32"/>
      <c r="N16" s="2"/>
      <c r="AA16" s="32">
        <f t="shared" si="0"/>
        <v>9</v>
      </c>
      <c r="AB16" s="51"/>
      <c r="AC16" s="32" t="s">
        <v>1321</v>
      </c>
      <c r="AD16" s="52" t="s">
        <v>1322</v>
      </c>
      <c r="AE16" s="32" t="s">
        <v>1324</v>
      </c>
      <c r="AF16" s="32" t="s">
        <v>141</v>
      </c>
      <c r="AG16" s="31" t="s">
        <v>142</v>
      </c>
      <c r="AH16" s="32">
        <v>20</v>
      </c>
      <c r="AI16" s="64"/>
      <c r="AJ16" s="32"/>
      <c r="AK16" s="32"/>
      <c r="AL16" s="32"/>
      <c r="AM16" s="32"/>
      <c r="AN16" s="2"/>
      <c r="AT16" s="2"/>
      <c r="AU16" s="2"/>
      <c r="AV16" s="2"/>
      <c r="AW16" s="2"/>
    </row>
    <row r="17" ht="22.5" spans="1:49">
      <c r="A17" s="32">
        <f t="shared" si="1"/>
        <v>10</v>
      </c>
      <c r="B17" s="51"/>
      <c r="C17" s="32" t="s">
        <v>1325</v>
      </c>
      <c r="D17" s="52" t="s">
        <v>1326</v>
      </c>
      <c r="E17" s="32" t="s">
        <v>1327</v>
      </c>
      <c r="F17" s="32" t="s">
        <v>141</v>
      </c>
      <c r="G17" s="31" t="s">
        <v>142</v>
      </c>
      <c r="H17" s="32">
        <v>11</v>
      </c>
      <c r="I17" s="64"/>
      <c r="J17" s="32"/>
      <c r="K17" s="32"/>
      <c r="L17" s="32"/>
      <c r="M17" s="32"/>
      <c r="N17" s="2"/>
      <c r="AA17" s="32">
        <f t="shared" si="0"/>
        <v>10</v>
      </c>
      <c r="AB17" s="51"/>
      <c r="AC17" s="32" t="s">
        <v>1325</v>
      </c>
      <c r="AD17" s="52" t="s">
        <v>1326</v>
      </c>
      <c r="AE17" s="32" t="s">
        <v>1328</v>
      </c>
      <c r="AF17" s="32" t="s">
        <v>141</v>
      </c>
      <c r="AG17" s="31" t="s">
        <v>142</v>
      </c>
      <c r="AH17" s="32">
        <v>11</v>
      </c>
      <c r="AI17" s="64"/>
      <c r="AJ17" s="32"/>
      <c r="AK17" s="32"/>
      <c r="AL17" s="32"/>
      <c r="AM17" s="32"/>
      <c r="AN17" s="2"/>
      <c r="AT17" s="2"/>
      <c r="AU17" s="2"/>
      <c r="AV17" s="2"/>
      <c r="AW17" s="2"/>
    </row>
    <row r="18" ht="22.5" spans="1:49">
      <c r="A18" s="32">
        <f t="shared" si="1"/>
        <v>11</v>
      </c>
      <c r="B18" s="51"/>
      <c r="C18" s="32" t="s">
        <v>1329</v>
      </c>
      <c r="D18" s="52" t="s">
        <v>1330</v>
      </c>
      <c r="E18" s="32" t="s">
        <v>1331</v>
      </c>
      <c r="F18" s="32" t="s">
        <v>141</v>
      </c>
      <c r="G18" s="31" t="s">
        <v>142</v>
      </c>
      <c r="H18" s="32">
        <v>6</v>
      </c>
      <c r="I18" s="64"/>
      <c r="J18" s="32"/>
      <c r="K18" s="32"/>
      <c r="L18" s="32"/>
      <c r="M18" s="32" t="s">
        <v>1332</v>
      </c>
      <c r="N18" s="2"/>
      <c r="AA18" s="32">
        <f t="shared" si="0"/>
        <v>11</v>
      </c>
      <c r="AB18" s="51"/>
      <c r="AC18" s="32" t="s">
        <v>1329</v>
      </c>
      <c r="AD18" s="52" t="s">
        <v>1330</v>
      </c>
      <c r="AE18" s="32" t="s">
        <v>1333</v>
      </c>
      <c r="AF18" s="32" t="s">
        <v>141</v>
      </c>
      <c r="AG18" s="31" t="s">
        <v>142</v>
      </c>
      <c r="AH18" s="32">
        <v>6</v>
      </c>
      <c r="AI18" s="64"/>
      <c r="AJ18" s="32"/>
      <c r="AK18" s="32"/>
      <c r="AL18" s="32"/>
      <c r="AM18" s="32" t="s">
        <v>1334</v>
      </c>
      <c r="AN18" s="2"/>
      <c r="AT18" s="2"/>
      <c r="AU18" s="2"/>
      <c r="AV18" s="2"/>
      <c r="AW18" s="2"/>
    </row>
    <row r="19" ht="22.5" spans="1:49">
      <c r="A19" s="32">
        <f t="shared" si="1"/>
        <v>12</v>
      </c>
      <c r="B19" s="51"/>
      <c r="C19" s="32" t="s">
        <v>420</v>
      </c>
      <c r="D19" s="52" t="s">
        <v>560</v>
      </c>
      <c r="E19" s="32" t="s">
        <v>1335</v>
      </c>
      <c r="F19" s="32" t="s">
        <v>141</v>
      </c>
      <c r="G19" s="31" t="s">
        <v>142</v>
      </c>
      <c r="H19" s="32">
        <v>11</v>
      </c>
      <c r="I19" s="64"/>
      <c r="J19" s="32"/>
      <c r="K19" s="32"/>
      <c r="L19" s="32"/>
      <c r="M19" s="32"/>
      <c r="N19" s="2" t="s">
        <v>22</v>
      </c>
      <c r="O19" s="5" t="s">
        <v>22</v>
      </c>
      <c r="P19" s="5" t="s">
        <v>22</v>
      </c>
      <c r="AA19" s="32">
        <f t="shared" si="0"/>
        <v>12</v>
      </c>
      <c r="AB19" s="51"/>
      <c r="AC19" s="32" t="s">
        <v>420</v>
      </c>
      <c r="AD19" s="52" t="s">
        <v>560</v>
      </c>
      <c r="AE19" s="32" t="s">
        <v>1336</v>
      </c>
      <c r="AF19" s="32" t="s">
        <v>141</v>
      </c>
      <c r="AG19" s="31" t="s">
        <v>142</v>
      </c>
      <c r="AH19" s="32">
        <v>11</v>
      </c>
      <c r="AI19" s="64"/>
      <c r="AJ19" s="32"/>
      <c r="AK19" s="32"/>
      <c r="AL19" s="32"/>
      <c r="AM19" s="32"/>
      <c r="AN19" s="2" t="s">
        <v>22</v>
      </c>
      <c r="AO19" s="5" t="s">
        <v>22</v>
      </c>
      <c r="AP19" s="5" t="s">
        <v>22</v>
      </c>
      <c r="AT19" s="2"/>
      <c r="AU19" s="2"/>
      <c r="AV19" s="2"/>
      <c r="AW19" s="2"/>
    </row>
    <row r="20" ht="22.5" spans="1:49">
      <c r="A20" s="32">
        <f t="shared" si="1"/>
        <v>13</v>
      </c>
      <c r="B20" s="51"/>
      <c r="C20" s="32" t="s">
        <v>424</v>
      </c>
      <c r="D20" s="52" t="s">
        <v>1337</v>
      </c>
      <c r="E20" s="32" t="s">
        <v>1338</v>
      </c>
      <c r="F20" s="32" t="s">
        <v>141</v>
      </c>
      <c r="G20" s="31" t="s">
        <v>142</v>
      </c>
      <c r="H20" s="32">
        <v>11</v>
      </c>
      <c r="I20" s="64"/>
      <c r="J20" s="32"/>
      <c r="K20" s="32"/>
      <c r="L20" s="32"/>
      <c r="M20" s="32"/>
      <c r="N20" s="2" t="s">
        <v>22</v>
      </c>
      <c r="O20" s="5" t="s">
        <v>22</v>
      </c>
      <c r="P20" s="5" t="s">
        <v>22</v>
      </c>
      <c r="AA20" s="32">
        <f t="shared" si="0"/>
        <v>13</v>
      </c>
      <c r="AB20" s="51"/>
      <c r="AC20" s="32" t="s">
        <v>424</v>
      </c>
      <c r="AD20" s="52" t="s">
        <v>1337</v>
      </c>
      <c r="AE20" s="32" t="s">
        <v>1339</v>
      </c>
      <c r="AF20" s="32" t="s">
        <v>141</v>
      </c>
      <c r="AG20" s="31" t="s">
        <v>142</v>
      </c>
      <c r="AH20" s="32">
        <v>11</v>
      </c>
      <c r="AI20" s="64"/>
      <c r="AJ20" s="32"/>
      <c r="AK20" s="32"/>
      <c r="AL20" s="32"/>
      <c r="AM20" s="32"/>
      <c r="AN20" s="2" t="s">
        <v>22</v>
      </c>
      <c r="AO20" s="5" t="s">
        <v>22</v>
      </c>
      <c r="AP20" s="5" t="s">
        <v>22</v>
      </c>
      <c r="AT20" s="2"/>
      <c r="AU20" s="2"/>
      <c r="AV20" s="2"/>
      <c r="AW20" s="2"/>
    </row>
    <row r="21" spans="1:49">
      <c r="A21" s="32">
        <f t="shared" si="1"/>
        <v>14</v>
      </c>
      <c r="B21" s="51"/>
      <c r="C21" s="32" t="s">
        <v>426</v>
      </c>
      <c r="D21" s="52" t="s">
        <v>595</v>
      </c>
      <c r="E21" s="32" t="s">
        <v>1340</v>
      </c>
      <c r="F21" s="32" t="s">
        <v>141</v>
      </c>
      <c r="G21" s="31" t="s">
        <v>142</v>
      </c>
      <c r="H21" s="32">
        <v>8</v>
      </c>
      <c r="I21" s="64"/>
      <c r="J21" s="32"/>
      <c r="K21" s="32"/>
      <c r="L21" s="32"/>
      <c r="M21" s="32"/>
      <c r="N21" s="2"/>
      <c r="AA21" s="32">
        <f t="shared" si="0"/>
        <v>14</v>
      </c>
      <c r="AB21" s="51"/>
      <c r="AC21" s="32" t="s">
        <v>426</v>
      </c>
      <c r="AD21" s="52" t="s">
        <v>595</v>
      </c>
      <c r="AE21" s="32" t="s">
        <v>1341</v>
      </c>
      <c r="AF21" s="32" t="s">
        <v>141</v>
      </c>
      <c r="AG21" s="31" t="s">
        <v>142</v>
      </c>
      <c r="AH21" s="32">
        <v>8</v>
      </c>
      <c r="AI21" s="64"/>
      <c r="AJ21" s="32"/>
      <c r="AK21" s="32"/>
      <c r="AL21" s="32"/>
      <c r="AM21" s="32"/>
      <c r="AN21" s="2"/>
      <c r="AT21" s="2"/>
      <c r="AU21" s="2"/>
      <c r="AV21" s="2"/>
      <c r="AW21" s="2"/>
    </row>
    <row r="22" ht="22.5" spans="1:49">
      <c r="A22" s="32">
        <f t="shared" si="1"/>
        <v>15</v>
      </c>
      <c r="B22" s="51"/>
      <c r="C22" s="32" t="s">
        <v>1342</v>
      </c>
      <c r="D22" s="52" t="s">
        <v>434</v>
      </c>
      <c r="E22" s="32" t="s">
        <v>1343</v>
      </c>
      <c r="F22" s="32" t="s">
        <v>153</v>
      </c>
      <c r="G22" s="31" t="s">
        <v>254</v>
      </c>
      <c r="H22" s="32" t="s">
        <v>8</v>
      </c>
      <c r="I22" s="64"/>
      <c r="J22" s="32"/>
      <c r="K22" s="32"/>
      <c r="L22" s="32"/>
      <c r="M22" s="32"/>
      <c r="N22" s="2"/>
      <c r="O22" s="5" t="s">
        <v>22</v>
      </c>
      <c r="P22" s="5" t="s">
        <v>22</v>
      </c>
      <c r="Q22" s="5" t="s">
        <v>1344</v>
      </c>
      <c r="AA22" s="32">
        <f t="shared" si="0"/>
        <v>15</v>
      </c>
      <c r="AB22" s="51"/>
      <c r="AC22" s="32" t="s">
        <v>1342</v>
      </c>
      <c r="AD22" s="52" t="s">
        <v>434</v>
      </c>
      <c r="AE22" s="32" t="s">
        <v>1345</v>
      </c>
      <c r="AF22" s="32" t="s">
        <v>153</v>
      </c>
      <c r="AG22" s="31" t="s">
        <v>254</v>
      </c>
      <c r="AH22" s="32" t="s">
        <v>8</v>
      </c>
      <c r="AI22" s="64"/>
      <c r="AJ22" s="32"/>
      <c r="AK22" s="32"/>
      <c r="AL22" s="32"/>
      <c r="AM22" s="32"/>
      <c r="AN22" s="2"/>
      <c r="AO22" s="5" t="s">
        <v>22</v>
      </c>
      <c r="AP22" s="5" t="s">
        <v>22</v>
      </c>
      <c r="AQ22" s="5" t="s">
        <v>1346</v>
      </c>
      <c r="AT22" s="2"/>
      <c r="AU22" s="2"/>
      <c r="AV22" s="2"/>
      <c r="AW22" s="2"/>
    </row>
    <row r="23" s="2" customFormat="1" spans="1:43">
      <c r="A23" s="32">
        <f t="shared" si="1"/>
        <v>16</v>
      </c>
      <c r="B23" s="51"/>
      <c r="C23" s="32" t="s">
        <v>437</v>
      </c>
      <c r="D23" s="32" t="s">
        <v>438</v>
      </c>
      <c r="E23" s="52"/>
      <c r="F23" s="32" t="s">
        <v>141</v>
      </c>
      <c r="G23" s="31" t="s">
        <v>142</v>
      </c>
      <c r="H23" s="32">
        <v>8</v>
      </c>
      <c r="I23" s="64"/>
      <c r="J23" s="32"/>
      <c r="K23" s="32"/>
      <c r="L23" s="32"/>
      <c r="M23" s="32"/>
      <c r="N23" s="2" t="s">
        <v>22</v>
      </c>
      <c r="O23" s="2" t="s">
        <v>22</v>
      </c>
      <c r="P23" s="2" t="s">
        <v>22</v>
      </c>
      <c r="Q23" s="3"/>
      <c r="X23" s="70"/>
      <c r="AA23" s="32">
        <f t="shared" si="0"/>
        <v>16</v>
      </c>
      <c r="AB23" s="51"/>
      <c r="AC23" s="32" t="s">
        <v>437</v>
      </c>
      <c r="AD23" s="32" t="s">
        <v>438</v>
      </c>
      <c r="AE23" s="52"/>
      <c r="AF23" s="32" t="s">
        <v>141</v>
      </c>
      <c r="AG23" s="31" t="s">
        <v>142</v>
      </c>
      <c r="AH23" s="32">
        <v>8</v>
      </c>
      <c r="AI23" s="64"/>
      <c r="AJ23" s="32"/>
      <c r="AK23" s="32"/>
      <c r="AL23" s="32"/>
      <c r="AM23" s="32"/>
      <c r="AN23" s="2" t="s">
        <v>22</v>
      </c>
      <c r="AO23" s="2" t="s">
        <v>22</v>
      </c>
      <c r="AP23" s="2" t="s">
        <v>22</v>
      </c>
      <c r="AQ23" s="3"/>
    </row>
    <row r="24" s="2" customFormat="1" spans="1:43">
      <c r="A24" s="32">
        <f t="shared" si="1"/>
        <v>17</v>
      </c>
      <c r="B24" s="51"/>
      <c r="C24" s="32" t="s">
        <v>579</v>
      </c>
      <c r="D24" s="32" t="s">
        <v>1347</v>
      </c>
      <c r="E24" s="52"/>
      <c r="F24" s="32" t="s">
        <v>141</v>
      </c>
      <c r="G24" s="31" t="s">
        <v>142</v>
      </c>
      <c r="H24" s="32">
        <v>8</v>
      </c>
      <c r="I24" s="64"/>
      <c r="J24" s="32"/>
      <c r="K24" s="32"/>
      <c r="L24" s="32"/>
      <c r="M24" s="32" t="s">
        <v>1348</v>
      </c>
      <c r="N24" s="2" t="s">
        <v>22</v>
      </c>
      <c r="O24" s="2" t="s">
        <v>22</v>
      </c>
      <c r="P24" s="2" t="s">
        <v>22</v>
      </c>
      <c r="Q24" s="3"/>
      <c r="X24" s="70"/>
      <c r="AA24" s="32">
        <f t="shared" si="0"/>
        <v>17</v>
      </c>
      <c r="AB24" s="51"/>
      <c r="AC24" s="32" t="s">
        <v>579</v>
      </c>
      <c r="AD24" s="32" t="s">
        <v>1347</v>
      </c>
      <c r="AE24" s="52"/>
      <c r="AF24" s="32" t="s">
        <v>141</v>
      </c>
      <c r="AG24" s="31" t="s">
        <v>142</v>
      </c>
      <c r="AH24" s="32">
        <v>8</v>
      </c>
      <c r="AI24" s="64"/>
      <c r="AJ24" s="32"/>
      <c r="AK24" s="32"/>
      <c r="AL24" s="32"/>
      <c r="AM24" s="32" t="s">
        <v>1349</v>
      </c>
      <c r="AN24" s="2" t="s">
        <v>22</v>
      </c>
      <c r="AO24" s="2" t="s">
        <v>22</v>
      </c>
      <c r="AP24" s="2" t="s">
        <v>22</v>
      </c>
      <c r="AQ24" s="3"/>
    </row>
    <row r="25" s="2" customFormat="1" spans="1:43">
      <c r="A25" s="32">
        <f t="shared" si="1"/>
        <v>18</v>
      </c>
      <c r="B25" s="51"/>
      <c r="C25" s="51" t="s">
        <v>440</v>
      </c>
      <c r="D25" s="52" t="s">
        <v>566</v>
      </c>
      <c r="E25" s="32"/>
      <c r="F25" s="32" t="s">
        <v>141</v>
      </c>
      <c r="G25" s="31" t="s">
        <v>142</v>
      </c>
      <c r="H25" s="32">
        <v>80</v>
      </c>
      <c r="I25" s="64"/>
      <c r="J25" s="32"/>
      <c r="K25" s="32"/>
      <c r="L25" s="32"/>
      <c r="M25" s="32"/>
      <c r="Q25" s="3"/>
      <c r="X25" s="70"/>
      <c r="AA25" s="32">
        <f t="shared" si="0"/>
        <v>18</v>
      </c>
      <c r="AB25" s="51"/>
      <c r="AC25" s="51" t="s">
        <v>440</v>
      </c>
      <c r="AD25" s="52" t="s">
        <v>566</v>
      </c>
      <c r="AE25" s="32"/>
      <c r="AF25" s="32" t="s">
        <v>141</v>
      </c>
      <c r="AG25" s="31" t="s">
        <v>142</v>
      </c>
      <c r="AH25" s="32">
        <v>80</v>
      </c>
      <c r="AI25" s="64"/>
      <c r="AJ25" s="32"/>
      <c r="AK25" s="32"/>
      <c r="AL25" s="32"/>
      <c r="AM25" s="32"/>
      <c r="AQ25" s="3"/>
    </row>
    <row r="26" s="2" customFormat="1" ht="22.5" spans="1:43">
      <c r="A26" s="32">
        <f t="shared" si="1"/>
        <v>19</v>
      </c>
      <c r="B26" s="51"/>
      <c r="C26" s="32" t="s">
        <v>429</v>
      </c>
      <c r="D26" s="52" t="s">
        <v>1350</v>
      </c>
      <c r="E26" s="32" t="s">
        <v>1351</v>
      </c>
      <c r="F26" s="32" t="s">
        <v>153</v>
      </c>
      <c r="G26" s="31" t="s">
        <v>254</v>
      </c>
      <c r="H26" s="32" t="s">
        <v>8</v>
      </c>
      <c r="I26" s="64"/>
      <c r="J26" s="32"/>
      <c r="K26" s="32"/>
      <c r="L26" s="32"/>
      <c r="M26" s="32" t="s">
        <v>1352</v>
      </c>
      <c r="Q26" s="3"/>
      <c r="X26" s="70"/>
      <c r="AA26" s="32">
        <f t="shared" si="0"/>
        <v>19</v>
      </c>
      <c r="AB26" s="51"/>
      <c r="AC26" s="32" t="s">
        <v>429</v>
      </c>
      <c r="AD26" s="52" t="s">
        <v>1350</v>
      </c>
      <c r="AE26" s="32" t="s">
        <v>1353</v>
      </c>
      <c r="AF26" s="32" t="s">
        <v>153</v>
      </c>
      <c r="AG26" s="31" t="s">
        <v>254</v>
      </c>
      <c r="AH26" s="32" t="s">
        <v>8</v>
      </c>
      <c r="AI26" s="64"/>
      <c r="AJ26" s="32"/>
      <c r="AK26" s="32"/>
      <c r="AL26" s="32"/>
      <c r="AM26" s="32" t="s">
        <v>1354</v>
      </c>
      <c r="AQ26" s="3"/>
    </row>
    <row r="27" s="2" customFormat="1" ht="22.5" spans="1:43">
      <c r="A27" s="32">
        <f t="shared" si="1"/>
        <v>20</v>
      </c>
      <c r="B27" s="51"/>
      <c r="C27" s="32" t="s">
        <v>600</v>
      </c>
      <c r="D27" s="52" t="s">
        <v>1355</v>
      </c>
      <c r="E27" s="32" t="s">
        <v>1351</v>
      </c>
      <c r="F27" s="32" t="s">
        <v>153</v>
      </c>
      <c r="G27" s="31" t="s">
        <v>254</v>
      </c>
      <c r="H27" s="32" t="s">
        <v>8</v>
      </c>
      <c r="I27" s="64"/>
      <c r="J27" s="32"/>
      <c r="K27" s="32"/>
      <c r="L27" s="32"/>
      <c r="M27" s="32" t="s">
        <v>1356</v>
      </c>
      <c r="Q27" s="3"/>
      <c r="X27" s="70"/>
      <c r="AA27" s="32">
        <f t="shared" si="0"/>
        <v>20</v>
      </c>
      <c r="AB27" s="51"/>
      <c r="AC27" s="32" t="s">
        <v>600</v>
      </c>
      <c r="AD27" s="52" t="s">
        <v>1355</v>
      </c>
      <c r="AE27" s="32" t="s">
        <v>1353</v>
      </c>
      <c r="AF27" s="32" t="s">
        <v>153</v>
      </c>
      <c r="AG27" s="31" t="s">
        <v>254</v>
      </c>
      <c r="AH27" s="32" t="s">
        <v>8</v>
      </c>
      <c r="AI27" s="64"/>
      <c r="AJ27" s="32"/>
      <c r="AK27" s="32"/>
      <c r="AL27" s="32"/>
      <c r="AM27" s="32" t="s">
        <v>1357</v>
      </c>
      <c r="AQ27" s="3"/>
    </row>
    <row r="28" s="2" customFormat="1" spans="1:43">
      <c r="A28" s="32">
        <f t="shared" si="1"/>
        <v>21</v>
      </c>
      <c r="B28" s="51"/>
      <c r="C28" s="32" t="s">
        <v>1358</v>
      </c>
      <c r="D28" s="52" t="s">
        <v>1359</v>
      </c>
      <c r="E28" s="52"/>
      <c r="F28" s="32" t="s">
        <v>141</v>
      </c>
      <c r="G28" s="31" t="s">
        <v>142</v>
      </c>
      <c r="H28" s="32">
        <v>8</v>
      </c>
      <c r="I28" s="64"/>
      <c r="J28" s="32"/>
      <c r="K28" s="32"/>
      <c r="L28" s="32"/>
      <c r="M28" s="32"/>
      <c r="P28" s="2" t="s">
        <v>22</v>
      </c>
      <c r="Q28" s="3"/>
      <c r="X28" s="70"/>
      <c r="AA28" s="32">
        <f t="shared" si="0"/>
        <v>21</v>
      </c>
      <c r="AB28" s="51"/>
      <c r="AC28" s="32" t="s">
        <v>1358</v>
      </c>
      <c r="AD28" s="52" t="s">
        <v>1359</v>
      </c>
      <c r="AE28" s="52"/>
      <c r="AF28" s="32" t="s">
        <v>141</v>
      </c>
      <c r="AG28" s="31" t="s">
        <v>142</v>
      </c>
      <c r="AH28" s="32">
        <v>8</v>
      </c>
      <c r="AI28" s="64"/>
      <c r="AJ28" s="32"/>
      <c r="AK28" s="32"/>
      <c r="AL28" s="32"/>
      <c r="AM28" s="32"/>
      <c r="AP28" s="2" t="s">
        <v>22</v>
      </c>
      <c r="AQ28" s="3"/>
    </row>
    <row r="29" s="2" customFormat="1" spans="1:43">
      <c r="A29" s="32">
        <f t="shared" si="1"/>
        <v>22</v>
      </c>
      <c r="B29" s="51"/>
      <c r="C29" s="32" t="s">
        <v>478</v>
      </c>
      <c r="D29" s="52" t="s">
        <v>479</v>
      </c>
      <c r="E29" s="32" t="s">
        <v>479</v>
      </c>
      <c r="F29" s="32" t="s">
        <v>141</v>
      </c>
      <c r="G29" s="31" t="s">
        <v>142</v>
      </c>
      <c r="H29" s="32">
        <v>10</v>
      </c>
      <c r="I29" s="64"/>
      <c r="J29" s="32"/>
      <c r="K29" s="32"/>
      <c r="L29" s="32"/>
      <c r="M29" s="32"/>
      <c r="Q29" s="3"/>
      <c r="X29" s="70"/>
      <c r="AA29" s="32">
        <f t="shared" si="0"/>
        <v>22</v>
      </c>
      <c r="AB29" s="51"/>
      <c r="AC29" s="32" t="s">
        <v>478</v>
      </c>
      <c r="AD29" s="52" t="s">
        <v>479</v>
      </c>
      <c r="AE29" s="32" t="s">
        <v>1360</v>
      </c>
      <c r="AF29" s="32" t="s">
        <v>141</v>
      </c>
      <c r="AG29" s="31" t="s">
        <v>142</v>
      </c>
      <c r="AH29" s="32">
        <v>10</v>
      </c>
      <c r="AI29" s="64"/>
      <c r="AJ29" s="32"/>
      <c r="AK29" s="32"/>
      <c r="AL29" s="32"/>
      <c r="AM29" s="32"/>
      <c r="AQ29" s="3"/>
    </row>
    <row r="30" s="2" customFormat="1" spans="1:43">
      <c r="A30" s="32">
        <f t="shared" si="1"/>
        <v>23</v>
      </c>
      <c r="B30" s="51"/>
      <c r="C30" s="32" t="s">
        <v>1361</v>
      </c>
      <c r="D30" s="52" t="s">
        <v>485</v>
      </c>
      <c r="E30" s="32" t="s">
        <v>1362</v>
      </c>
      <c r="F30" s="32" t="s">
        <v>141</v>
      </c>
      <c r="G30" s="31" t="s">
        <v>142</v>
      </c>
      <c r="H30" s="32">
        <v>11</v>
      </c>
      <c r="I30" s="64"/>
      <c r="J30" s="32"/>
      <c r="K30" s="32"/>
      <c r="L30" s="32"/>
      <c r="M30" s="32"/>
      <c r="N30" s="2" t="s">
        <v>1363</v>
      </c>
      <c r="O30" s="2" t="s">
        <v>1363</v>
      </c>
      <c r="P30" s="2" t="s">
        <v>1363</v>
      </c>
      <c r="Q30" s="3"/>
      <c r="X30" s="70"/>
      <c r="AA30" s="32">
        <f t="shared" si="0"/>
        <v>23</v>
      </c>
      <c r="AB30" s="51"/>
      <c r="AC30" s="32" t="s">
        <v>1361</v>
      </c>
      <c r="AD30" s="52" t="s">
        <v>485</v>
      </c>
      <c r="AE30" s="32" t="s">
        <v>1364</v>
      </c>
      <c r="AF30" s="32" t="s">
        <v>141</v>
      </c>
      <c r="AG30" s="31" t="s">
        <v>142</v>
      </c>
      <c r="AH30" s="32">
        <v>11</v>
      </c>
      <c r="AI30" s="64"/>
      <c r="AJ30" s="32"/>
      <c r="AK30" s="32"/>
      <c r="AL30" s="32"/>
      <c r="AM30" s="32"/>
      <c r="AN30" s="2" t="s">
        <v>1363</v>
      </c>
      <c r="AO30" s="2" t="s">
        <v>1363</v>
      </c>
      <c r="AP30" s="2" t="s">
        <v>1363</v>
      </c>
      <c r="AQ30" s="3"/>
    </row>
    <row r="31" s="2" customFormat="1" ht="45" spans="1:43">
      <c r="A31" s="32">
        <f t="shared" si="1"/>
        <v>24</v>
      </c>
      <c r="B31" s="51"/>
      <c r="C31" s="32" t="s">
        <v>1365</v>
      </c>
      <c r="D31" s="52" t="s">
        <v>1366</v>
      </c>
      <c r="E31" s="32" t="s">
        <v>1367</v>
      </c>
      <c r="F31" s="32" t="s">
        <v>141</v>
      </c>
      <c r="G31" s="31" t="s">
        <v>142</v>
      </c>
      <c r="H31" s="32">
        <v>80</v>
      </c>
      <c r="I31" s="64"/>
      <c r="J31" s="32"/>
      <c r="K31" s="32"/>
      <c r="L31" s="32"/>
      <c r="M31" s="32" t="s">
        <v>1368</v>
      </c>
      <c r="Q31" s="3"/>
      <c r="X31" s="70"/>
      <c r="AA31" s="32">
        <f t="shared" si="0"/>
        <v>24</v>
      </c>
      <c r="AB31" s="51"/>
      <c r="AC31" s="32" t="s">
        <v>1365</v>
      </c>
      <c r="AD31" s="52" t="s">
        <v>1366</v>
      </c>
      <c r="AE31" s="32" t="s">
        <v>1369</v>
      </c>
      <c r="AF31" s="32" t="s">
        <v>141</v>
      </c>
      <c r="AG31" s="31" t="s">
        <v>142</v>
      </c>
      <c r="AH31" s="32">
        <v>80</v>
      </c>
      <c r="AI31" s="64"/>
      <c r="AJ31" s="32"/>
      <c r="AK31" s="32"/>
      <c r="AL31" s="32"/>
      <c r="AM31" s="32" t="s">
        <v>1370</v>
      </c>
      <c r="AQ31" s="3"/>
    </row>
    <row r="32" s="2" customFormat="1" ht="45" spans="1:43">
      <c r="A32" s="32">
        <f t="shared" si="1"/>
        <v>25</v>
      </c>
      <c r="B32" s="51"/>
      <c r="C32" s="32" t="s">
        <v>1371</v>
      </c>
      <c r="D32" s="52" t="s">
        <v>1372</v>
      </c>
      <c r="E32" s="32" t="s">
        <v>1367</v>
      </c>
      <c r="F32" s="32" t="s">
        <v>141</v>
      </c>
      <c r="G32" s="31" t="s">
        <v>142</v>
      </c>
      <c r="H32" s="32">
        <v>80</v>
      </c>
      <c r="I32" s="64"/>
      <c r="J32" s="32"/>
      <c r="K32" s="32"/>
      <c r="L32" s="32"/>
      <c r="M32" s="32" t="s">
        <v>1373</v>
      </c>
      <c r="Q32" s="3"/>
      <c r="X32" s="70"/>
      <c r="AA32" s="32">
        <f t="shared" si="0"/>
        <v>25</v>
      </c>
      <c r="AB32" s="51"/>
      <c r="AC32" s="32" t="s">
        <v>1371</v>
      </c>
      <c r="AD32" s="52" t="s">
        <v>1372</v>
      </c>
      <c r="AE32" s="32" t="s">
        <v>1369</v>
      </c>
      <c r="AF32" s="32" t="s">
        <v>141</v>
      </c>
      <c r="AG32" s="31" t="s">
        <v>142</v>
      </c>
      <c r="AH32" s="32">
        <v>80</v>
      </c>
      <c r="AI32" s="64"/>
      <c r="AJ32" s="32"/>
      <c r="AK32" s="32"/>
      <c r="AL32" s="32"/>
      <c r="AM32" s="32" t="s">
        <v>1374</v>
      </c>
      <c r="AQ32" s="3"/>
    </row>
    <row r="33" s="2" customFormat="1" ht="45" spans="1:43">
      <c r="A33" s="32">
        <f t="shared" si="1"/>
        <v>26</v>
      </c>
      <c r="B33" s="51"/>
      <c r="C33" s="32" t="s">
        <v>1375</v>
      </c>
      <c r="D33" s="52" t="s">
        <v>1376</v>
      </c>
      <c r="E33" s="32" t="s">
        <v>1377</v>
      </c>
      <c r="F33" s="32" t="s">
        <v>141</v>
      </c>
      <c r="G33" s="31" t="s">
        <v>142</v>
      </c>
      <c r="H33" s="32">
        <v>120</v>
      </c>
      <c r="I33" s="64"/>
      <c r="J33" s="32"/>
      <c r="K33" s="32"/>
      <c r="L33" s="32"/>
      <c r="M33" s="32" t="s">
        <v>1378</v>
      </c>
      <c r="Q33" s="3"/>
      <c r="X33" s="70"/>
      <c r="AA33" s="32">
        <f t="shared" si="0"/>
        <v>26</v>
      </c>
      <c r="AB33" s="51"/>
      <c r="AC33" s="32" t="s">
        <v>1375</v>
      </c>
      <c r="AD33" s="52" t="s">
        <v>1376</v>
      </c>
      <c r="AE33" s="32" t="s">
        <v>1379</v>
      </c>
      <c r="AF33" s="32" t="s">
        <v>141</v>
      </c>
      <c r="AG33" s="31" t="s">
        <v>142</v>
      </c>
      <c r="AH33" s="32">
        <v>120</v>
      </c>
      <c r="AI33" s="64"/>
      <c r="AJ33" s="32"/>
      <c r="AK33" s="32"/>
      <c r="AL33" s="32"/>
      <c r="AM33" s="32" t="s">
        <v>1380</v>
      </c>
      <c r="AQ33" s="3"/>
    </row>
    <row r="34" s="2" customFormat="1" ht="45" spans="1:43">
      <c r="A34" s="32">
        <f t="shared" si="1"/>
        <v>27</v>
      </c>
      <c r="B34" s="51"/>
      <c r="C34" s="32" t="s">
        <v>1381</v>
      </c>
      <c r="D34" s="52" t="s">
        <v>1382</v>
      </c>
      <c r="E34" s="32" t="s">
        <v>1377</v>
      </c>
      <c r="F34" s="32" t="s">
        <v>141</v>
      </c>
      <c r="G34" s="31" t="s">
        <v>142</v>
      </c>
      <c r="H34" s="32">
        <v>120</v>
      </c>
      <c r="I34" s="64"/>
      <c r="J34" s="32"/>
      <c r="K34" s="32"/>
      <c r="L34" s="32"/>
      <c r="M34" s="32" t="s">
        <v>1373</v>
      </c>
      <c r="Q34" s="3"/>
      <c r="X34" s="70"/>
      <c r="AA34" s="32">
        <f t="shared" si="0"/>
        <v>27</v>
      </c>
      <c r="AB34" s="51"/>
      <c r="AC34" s="32" t="s">
        <v>1381</v>
      </c>
      <c r="AD34" s="52" t="s">
        <v>1382</v>
      </c>
      <c r="AE34" s="32" t="s">
        <v>1379</v>
      </c>
      <c r="AF34" s="32" t="s">
        <v>141</v>
      </c>
      <c r="AG34" s="31" t="s">
        <v>142</v>
      </c>
      <c r="AH34" s="32">
        <v>120</v>
      </c>
      <c r="AI34" s="64"/>
      <c r="AJ34" s="32"/>
      <c r="AK34" s="32"/>
      <c r="AL34" s="32"/>
      <c r="AM34" s="32" t="s">
        <v>1374</v>
      </c>
      <c r="AQ34" s="3"/>
    </row>
    <row r="35" s="2" customFormat="1" ht="22.5" spans="1:43">
      <c r="A35" s="32">
        <f t="shared" si="1"/>
        <v>28</v>
      </c>
      <c r="B35" s="51"/>
      <c r="C35" s="51" t="s">
        <v>325</v>
      </c>
      <c r="D35" s="32" t="s">
        <v>1383</v>
      </c>
      <c r="E35" s="32"/>
      <c r="F35" s="32" t="s">
        <v>141</v>
      </c>
      <c r="G35" s="31" t="s">
        <v>142</v>
      </c>
      <c r="H35" s="32">
        <v>8</v>
      </c>
      <c r="I35" s="64"/>
      <c r="J35" s="32"/>
      <c r="K35" s="32"/>
      <c r="L35" s="32"/>
      <c r="M35" s="32" t="s">
        <v>1373</v>
      </c>
      <c r="Q35" s="3"/>
      <c r="X35" s="70"/>
      <c r="AA35" s="32">
        <f t="shared" si="0"/>
        <v>28</v>
      </c>
      <c r="AB35" s="51"/>
      <c r="AC35" s="51" t="s">
        <v>325</v>
      </c>
      <c r="AD35" s="32" t="s">
        <v>1383</v>
      </c>
      <c r="AE35" s="32"/>
      <c r="AF35" s="32" t="s">
        <v>141</v>
      </c>
      <c r="AG35" s="31" t="s">
        <v>142</v>
      </c>
      <c r="AH35" s="32">
        <v>8</v>
      </c>
      <c r="AI35" s="64"/>
      <c r="AJ35" s="32"/>
      <c r="AK35" s="32"/>
      <c r="AL35" s="32"/>
      <c r="AM35" s="32" t="s">
        <v>1374</v>
      </c>
      <c r="AQ35" s="3"/>
    </row>
    <row r="36" s="2" customFormat="1" ht="33.75" spans="1:43">
      <c r="A36" s="32">
        <f t="shared" si="1"/>
        <v>29</v>
      </c>
      <c r="B36" s="51"/>
      <c r="C36" s="51" t="s">
        <v>1384</v>
      </c>
      <c r="D36" s="32" t="s">
        <v>1385</v>
      </c>
      <c r="E36" s="32" t="s">
        <v>1386</v>
      </c>
      <c r="F36" s="32" t="s">
        <v>141</v>
      </c>
      <c r="G36" s="31" t="s">
        <v>142</v>
      </c>
      <c r="H36" s="32">
        <v>1</v>
      </c>
      <c r="I36" s="64"/>
      <c r="J36" s="32"/>
      <c r="K36" s="32"/>
      <c r="L36" s="32"/>
      <c r="M36" s="32" t="s">
        <v>1373</v>
      </c>
      <c r="Q36" s="3"/>
      <c r="X36" s="70"/>
      <c r="AA36" s="32">
        <f t="shared" si="0"/>
        <v>29</v>
      </c>
      <c r="AB36" s="51"/>
      <c r="AC36" s="51" t="s">
        <v>1384</v>
      </c>
      <c r="AD36" s="32" t="s">
        <v>1385</v>
      </c>
      <c r="AE36" s="32" t="s">
        <v>1387</v>
      </c>
      <c r="AF36" s="32" t="s">
        <v>141</v>
      </c>
      <c r="AG36" s="31" t="s">
        <v>142</v>
      </c>
      <c r="AH36" s="32">
        <v>1</v>
      </c>
      <c r="AI36" s="64"/>
      <c r="AJ36" s="32"/>
      <c r="AK36" s="32"/>
      <c r="AL36" s="32"/>
      <c r="AM36" s="32" t="s">
        <v>1374</v>
      </c>
      <c r="AQ36" s="3"/>
    </row>
    <row r="37" s="2" customFormat="1" ht="33.75" spans="1:43">
      <c r="A37" s="32">
        <f t="shared" si="1"/>
        <v>30</v>
      </c>
      <c r="B37" s="60"/>
      <c r="C37" s="32" t="s">
        <v>1388</v>
      </c>
      <c r="D37" s="52" t="s">
        <v>1389</v>
      </c>
      <c r="E37" s="32" t="s">
        <v>1390</v>
      </c>
      <c r="F37" s="32" t="s">
        <v>153</v>
      </c>
      <c r="G37" s="31" t="s">
        <v>254</v>
      </c>
      <c r="H37" s="32" t="s">
        <v>8</v>
      </c>
      <c r="I37" s="64"/>
      <c r="J37" s="32"/>
      <c r="K37" s="32"/>
      <c r="L37" s="32"/>
      <c r="M37" s="32" t="s">
        <v>1391</v>
      </c>
      <c r="P37" s="2" t="s">
        <v>22</v>
      </c>
      <c r="Q37" s="3"/>
      <c r="X37" s="70"/>
      <c r="AA37" s="32">
        <f t="shared" si="0"/>
        <v>30</v>
      </c>
      <c r="AB37" s="75"/>
      <c r="AC37" s="32" t="s">
        <v>1388</v>
      </c>
      <c r="AD37" s="52" t="s">
        <v>1389</v>
      </c>
      <c r="AE37" s="32" t="s">
        <v>1392</v>
      </c>
      <c r="AF37" s="32" t="s">
        <v>153</v>
      </c>
      <c r="AG37" s="31" t="s">
        <v>254</v>
      </c>
      <c r="AH37" s="32" t="s">
        <v>8</v>
      </c>
      <c r="AI37" s="64"/>
      <c r="AJ37" s="32"/>
      <c r="AK37" s="32"/>
      <c r="AL37" s="32"/>
      <c r="AM37" s="32" t="s">
        <v>1393</v>
      </c>
      <c r="AP37" s="2" t="s">
        <v>22</v>
      </c>
      <c r="AQ37" s="3"/>
    </row>
    <row r="38" s="2" customFormat="1" ht="45" spans="1:43">
      <c r="A38" s="32">
        <f t="shared" si="1"/>
        <v>31</v>
      </c>
      <c r="B38" s="60"/>
      <c r="C38" s="32" t="s">
        <v>1394</v>
      </c>
      <c r="D38" s="52" t="s">
        <v>1395</v>
      </c>
      <c r="E38" s="32" t="s">
        <v>1390</v>
      </c>
      <c r="F38" s="32" t="s">
        <v>153</v>
      </c>
      <c r="G38" s="31" t="s">
        <v>254</v>
      </c>
      <c r="H38" s="32" t="s">
        <v>8</v>
      </c>
      <c r="I38" s="64"/>
      <c r="J38" s="32"/>
      <c r="K38" s="32"/>
      <c r="L38" s="32"/>
      <c r="M38" s="32" t="s">
        <v>1391</v>
      </c>
      <c r="P38" s="2" t="s">
        <v>22</v>
      </c>
      <c r="Q38" s="3"/>
      <c r="X38" s="70"/>
      <c r="AA38" s="32">
        <f t="shared" si="0"/>
        <v>31</v>
      </c>
      <c r="AB38" s="75"/>
      <c r="AC38" s="32" t="s">
        <v>1394</v>
      </c>
      <c r="AD38" s="52" t="s">
        <v>1395</v>
      </c>
      <c r="AE38" s="32" t="s">
        <v>1396</v>
      </c>
      <c r="AF38" s="32" t="s">
        <v>153</v>
      </c>
      <c r="AG38" s="31" t="s">
        <v>254</v>
      </c>
      <c r="AH38" s="32" t="s">
        <v>8</v>
      </c>
      <c r="AI38" s="64"/>
      <c r="AJ38" s="32"/>
      <c r="AK38" s="32"/>
      <c r="AL38" s="32"/>
      <c r="AM38" s="32" t="s">
        <v>1393</v>
      </c>
      <c r="AP38" s="2" t="s">
        <v>22</v>
      </c>
      <c r="AQ38" s="3"/>
    </row>
    <row r="39" s="2" customFormat="1" ht="45" spans="1:43">
      <c r="A39" s="32">
        <f t="shared" si="1"/>
        <v>32</v>
      </c>
      <c r="B39" s="60"/>
      <c r="C39" s="32" t="s">
        <v>1397</v>
      </c>
      <c r="D39" s="52" t="s">
        <v>1398</v>
      </c>
      <c r="E39" s="32" t="s">
        <v>1390</v>
      </c>
      <c r="F39" s="32" t="s">
        <v>153</v>
      </c>
      <c r="G39" s="31" t="s">
        <v>254</v>
      </c>
      <c r="H39" s="32" t="s">
        <v>8</v>
      </c>
      <c r="I39" s="64"/>
      <c r="J39" s="32"/>
      <c r="K39" s="32"/>
      <c r="L39" s="32"/>
      <c r="M39" s="32" t="s">
        <v>1391</v>
      </c>
      <c r="P39" s="2" t="s">
        <v>22</v>
      </c>
      <c r="Q39" s="3"/>
      <c r="X39" s="70"/>
      <c r="AA39" s="32">
        <f t="shared" si="0"/>
        <v>32</v>
      </c>
      <c r="AB39" s="75"/>
      <c r="AC39" s="32" t="s">
        <v>1397</v>
      </c>
      <c r="AD39" s="52" t="s">
        <v>1398</v>
      </c>
      <c r="AE39" s="32" t="s">
        <v>1396</v>
      </c>
      <c r="AF39" s="32" t="s">
        <v>153</v>
      </c>
      <c r="AG39" s="31" t="s">
        <v>254</v>
      </c>
      <c r="AH39" s="32" t="s">
        <v>8</v>
      </c>
      <c r="AI39" s="64"/>
      <c r="AJ39" s="32"/>
      <c r="AK39" s="32"/>
      <c r="AL39" s="32"/>
      <c r="AM39" s="32" t="s">
        <v>1393</v>
      </c>
      <c r="AP39" s="2" t="s">
        <v>22</v>
      </c>
      <c r="AQ39" s="3"/>
    </row>
    <row r="40" s="2" customFormat="1" ht="45" spans="1:43">
      <c r="A40" s="32">
        <f t="shared" si="1"/>
        <v>33</v>
      </c>
      <c r="B40" s="51"/>
      <c r="C40" s="51" t="s">
        <v>510</v>
      </c>
      <c r="D40" s="32" t="s">
        <v>1399</v>
      </c>
      <c r="E40" s="32" t="s">
        <v>1400</v>
      </c>
      <c r="F40" s="32" t="s">
        <v>141</v>
      </c>
      <c r="G40" s="31" t="s">
        <v>142</v>
      </c>
      <c r="H40" s="32">
        <v>11</v>
      </c>
      <c r="I40" s="64"/>
      <c r="J40" s="32"/>
      <c r="K40" s="32"/>
      <c r="L40" s="32"/>
      <c r="M40" s="67" t="s">
        <v>1401</v>
      </c>
      <c r="N40" s="68"/>
      <c r="O40" s="2" t="s">
        <v>1363</v>
      </c>
      <c r="P40" s="2" t="s">
        <v>1363</v>
      </c>
      <c r="Q40" s="3"/>
      <c r="X40" s="70"/>
      <c r="AA40" s="32">
        <f t="shared" si="0"/>
        <v>33</v>
      </c>
      <c r="AB40" s="51"/>
      <c r="AC40" s="51" t="s">
        <v>510</v>
      </c>
      <c r="AD40" s="32" t="s">
        <v>1399</v>
      </c>
      <c r="AE40" s="32" t="s">
        <v>1402</v>
      </c>
      <c r="AF40" s="32" t="s">
        <v>141</v>
      </c>
      <c r="AG40" s="31" t="s">
        <v>142</v>
      </c>
      <c r="AH40" s="32">
        <v>11</v>
      </c>
      <c r="AI40" s="64"/>
      <c r="AJ40" s="32"/>
      <c r="AK40" s="32"/>
      <c r="AL40" s="32"/>
      <c r="AM40" s="67" t="s">
        <v>1403</v>
      </c>
      <c r="AN40" s="68"/>
      <c r="AO40" s="2" t="s">
        <v>1363</v>
      </c>
      <c r="AP40" s="2" t="s">
        <v>1363</v>
      </c>
      <c r="AQ40" s="3"/>
    </row>
    <row r="41" s="2" customFormat="1" ht="22.5" spans="1:43">
      <c r="A41" s="32">
        <f t="shared" si="1"/>
        <v>34</v>
      </c>
      <c r="B41" s="51"/>
      <c r="C41" s="51" t="s">
        <v>1404</v>
      </c>
      <c r="D41" s="32" t="s">
        <v>1405</v>
      </c>
      <c r="E41" s="32" t="s">
        <v>1406</v>
      </c>
      <c r="F41" s="32" t="s">
        <v>141</v>
      </c>
      <c r="G41" s="31" t="s">
        <v>142</v>
      </c>
      <c r="H41" s="32">
        <v>256</v>
      </c>
      <c r="I41" s="64"/>
      <c r="J41" s="32"/>
      <c r="K41" s="32"/>
      <c r="L41" s="32"/>
      <c r="M41" s="32"/>
      <c r="Q41" s="3"/>
      <c r="X41" s="70"/>
      <c r="AA41" s="32">
        <f t="shared" si="0"/>
        <v>34</v>
      </c>
      <c r="AB41" s="51"/>
      <c r="AC41" s="51" t="s">
        <v>1404</v>
      </c>
      <c r="AD41" s="32" t="s">
        <v>1405</v>
      </c>
      <c r="AE41" s="32" t="s">
        <v>1407</v>
      </c>
      <c r="AF41" s="32" t="s">
        <v>141</v>
      </c>
      <c r="AG41" s="31" t="s">
        <v>142</v>
      </c>
      <c r="AH41" s="32">
        <v>256</v>
      </c>
      <c r="AI41" s="64"/>
      <c r="AJ41" s="32"/>
      <c r="AK41" s="32"/>
      <c r="AL41" s="32"/>
      <c r="AM41" s="32"/>
      <c r="AQ41" s="3"/>
    </row>
    <row r="42" s="2" customFormat="1" ht="22.5" spans="1:43">
      <c r="A42" s="32">
        <f t="shared" si="1"/>
        <v>35</v>
      </c>
      <c r="B42" s="51"/>
      <c r="C42" s="51" t="s">
        <v>1408</v>
      </c>
      <c r="D42" s="32" t="s">
        <v>1409</v>
      </c>
      <c r="E42" s="32" t="s">
        <v>1410</v>
      </c>
      <c r="F42" s="32" t="s">
        <v>141</v>
      </c>
      <c r="G42" s="31" t="s">
        <v>142</v>
      </c>
      <c r="H42" s="32">
        <v>256</v>
      </c>
      <c r="I42" s="64"/>
      <c r="J42" s="32"/>
      <c r="K42" s="32"/>
      <c r="L42" s="32"/>
      <c r="M42" s="32"/>
      <c r="Q42" s="3"/>
      <c r="X42" s="70"/>
      <c r="AA42" s="32">
        <f t="shared" si="0"/>
        <v>35</v>
      </c>
      <c r="AB42" s="51"/>
      <c r="AC42" s="51" t="s">
        <v>1408</v>
      </c>
      <c r="AD42" s="32" t="s">
        <v>1409</v>
      </c>
      <c r="AE42" s="32" t="s">
        <v>1411</v>
      </c>
      <c r="AF42" s="32" t="s">
        <v>141</v>
      </c>
      <c r="AG42" s="31" t="s">
        <v>142</v>
      </c>
      <c r="AH42" s="32">
        <v>256</v>
      </c>
      <c r="AI42" s="64"/>
      <c r="AJ42" s="32"/>
      <c r="AK42" s="32"/>
      <c r="AL42" s="32"/>
      <c r="AM42" s="32"/>
      <c r="AQ42" s="3"/>
    </row>
    <row r="43" s="2" customFormat="1" spans="1:43">
      <c r="A43" s="32">
        <f t="shared" si="1"/>
        <v>36</v>
      </c>
      <c r="B43" s="51"/>
      <c r="C43" s="32" t="s">
        <v>526</v>
      </c>
      <c r="D43" s="52" t="s">
        <v>527</v>
      </c>
      <c r="E43" s="32" t="s">
        <v>1412</v>
      </c>
      <c r="F43" s="32" t="s">
        <v>172</v>
      </c>
      <c r="G43" s="31" t="s">
        <v>173</v>
      </c>
      <c r="H43" s="32" t="s">
        <v>8</v>
      </c>
      <c r="I43" s="64"/>
      <c r="J43" s="32"/>
      <c r="K43" s="32"/>
      <c r="L43" s="32"/>
      <c r="M43" s="32"/>
      <c r="N43" s="2" t="s">
        <v>22</v>
      </c>
      <c r="O43" s="2" t="s">
        <v>22</v>
      </c>
      <c r="P43" s="2" t="s">
        <v>22</v>
      </c>
      <c r="Q43" s="3"/>
      <c r="X43" s="70"/>
      <c r="AA43" s="32">
        <f t="shared" si="0"/>
        <v>36</v>
      </c>
      <c r="AB43" s="51"/>
      <c r="AC43" s="32" t="s">
        <v>526</v>
      </c>
      <c r="AD43" s="52" t="s">
        <v>527</v>
      </c>
      <c r="AE43" s="32" t="s">
        <v>1413</v>
      </c>
      <c r="AF43" s="32" t="s">
        <v>172</v>
      </c>
      <c r="AG43" s="31" t="s">
        <v>173</v>
      </c>
      <c r="AH43" s="32" t="s">
        <v>8</v>
      </c>
      <c r="AI43" s="64"/>
      <c r="AJ43" s="32"/>
      <c r="AK43" s="32"/>
      <c r="AL43" s="32"/>
      <c r="AM43" s="32"/>
      <c r="AN43" s="2" t="s">
        <v>22</v>
      </c>
      <c r="AO43" s="2" t="s">
        <v>22</v>
      </c>
      <c r="AP43" s="2" t="s">
        <v>22</v>
      </c>
      <c r="AQ43" s="3"/>
    </row>
    <row r="44" s="2" customFormat="1" spans="1:43">
      <c r="A44" s="32">
        <f t="shared" si="1"/>
        <v>37</v>
      </c>
      <c r="B44" s="51"/>
      <c r="C44" s="32" t="s">
        <v>528</v>
      </c>
      <c r="D44" s="52" t="s">
        <v>529</v>
      </c>
      <c r="E44" s="32" t="s">
        <v>1414</v>
      </c>
      <c r="F44" s="32" t="s">
        <v>172</v>
      </c>
      <c r="G44" s="31" t="s">
        <v>173</v>
      </c>
      <c r="H44" s="32" t="s">
        <v>8</v>
      </c>
      <c r="I44" s="64"/>
      <c r="J44" s="32"/>
      <c r="K44" s="32"/>
      <c r="L44" s="32"/>
      <c r="M44" s="32"/>
      <c r="Q44" s="3"/>
      <c r="X44" s="70"/>
      <c r="AA44" s="32">
        <f t="shared" si="0"/>
        <v>37</v>
      </c>
      <c r="AB44" s="51"/>
      <c r="AC44" s="32" t="s">
        <v>528</v>
      </c>
      <c r="AD44" s="52" t="s">
        <v>529</v>
      </c>
      <c r="AE44" s="32" t="s">
        <v>1415</v>
      </c>
      <c r="AF44" s="32" t="s">
        <v>172</v>
      </c>
      <c r="AG44" s="31" t="s">
        <v>173</v>
      </c>
      <c r="AH44" s="32" t="s">
        <v>8</v>
      </c>
      <c r="AI44" s="64"/>
      <c r="AJ44" s="32"/>
      <c r="AK44" s="32"/>
      <c r="AL44" s="32"/>
      <c r="AM44" s="32"/>
      <c r="AQ44" s="3"/>
    </row>
    <row r="45" s="2" customFormat="1" spans="1:43">
      <c r="A45" s="32">
        <f t="shared" si="1"/>
        <v>38</v>
      </c>
      <c r="B45" s="51"/>
      <c r="C45" s="32" t="s">
        <v>530</v>
      </c>
      <c r="D45" s="52" t="s">
        <v>1416</v>
      </c>
      <c r="E45" s="32" t="s">
        <v>1417</v>
      </c>
      <c r="F45" s="32" t="s">
        <v>141</v>
      </c>
      <c r="G45" s="31" t="s">
        <v>142</v>
      </c>
      <c r="H45" s="32">
        <v>5</v>
      </c>
      <c r="I45" s="64"/>
      <c r="J45" s="32"/>
      <c r="K45" s="32"/>
      <c r="L45" s="32"/>
      <c r="M45" s="32"/>
      <c r="Q45" s="3"/>
      <c r="X45" s="70"/>
      <c r="AA45" s="32">
        <f t="shared" si="0"/>
        <v>38</v>
      </c>
      <c r="AB45" s="51"/>
      <c r="AC45" s="32" t="s">
        <v>530</v>
      </c>
      <c r="AD45" s="52" t="s">
        <v>1416</v>
      </c>
      <c r="AE45" s="32" t="s">
        <v>1418</v>
      </c>
      <c r="AF45" s="32" t="s">
        <v>141</v>
      </c>
      <c r="AG45" s="31" t="s">
        <v>142</v>
      </c>
      <c r="AH45" s="32">
        <v>5</v>
      </c>
      <c r="AI45" s="64"/>
      <c r="AJ45" s="32"/>
      <c r="AK45" s="32"/>
      <c r="AL45" s="32"/>
      <c r="AM45" s="32"/>
      <c r="AQ45" s="3"/>
    </row>
    <row r="46" s="2" customFormat="1" spans="1:43">
      <c r="A46" s="32">
        <f>A44+1</f>
        <v>38</v>
      </c>
      <c r="B46" s="51"/>
      <c r="C46" s="32" t="s">
        <v>1419</v>
      </c>
      <c r="D46" s="52" t="s">
        <v>1420</v>
      </c>
      <c r="E46" s="32" t="s">
        <v>1421</v>
      </c>
      <c r="F46" s="32" t="s">
        <v>301</v>
      </c>
      <c r="G46" s="31" t="s">
        <v>306</v>
      </c>
      <c r="H46" s="32" t="s">
        <v>8</v>
      </c>
      <c r="I46" s="64"/>
      <c r="J46" s="32"/>
      <c r="K46" s="32"/>
      <c r="L46" s="32"/>
      <c r="M46" s="32"/>
      <c r="Q46" s="3"/>
      <c r="X46" s="70"/>
      <c r="AA46" s="32">
        <f>AA44+1</f>
        <v>38</v>
      </c>
      <c r="AB46" s="51"/>
      <c r="AC46" s="32" t="s">
        <v>1419</v>
      </c>
      <c r="AD46" s="52" t="s">
        <v>1420</v>
      </c>
      <c r="AE46" s="32" t="s">
        <v>1422</v>
      </c>
      <c r="AF46" s="32" t="s">
        <v>301</v>
      </c>
      <c r="AG46" s="31" t="s">
        <v>306</v>
      </c>
      <c r="AH46" s="32" t="s">
        <v>8</v>
      </c>
      <c r="AI46" s="64"/>
      <c r="AJ46" s="32"/>
      <c r="AK46" s="32"/>
      <c r="AL46" s="32"/>
      <c r="AM46" s="32"/>
      <c r="AQ46" s="3"/>
    </row>
    <row r="47" s="2" customFormat="1" ht="22.5" spans="1:43">
      <c r="A47" s="32">
        <f>A45+1</f>
        <v>39</v>
      </c>
      <c r="B47" s="51"/>
      <c r="C47" s="32" t="s">
        <v>1423</v>
      </c>
      <c r="D47" s="52" t="s">
        <v>1424</v>
      </c>
      <c r="E47" s="32" t="s">
        <v>1425</v>
      </c>
      <c r="F47" s="32" t="s">
        <v>301</v>
      </c>
      <c r="G47" s="31" t="s">
        <v>306</v>
      </c>
      <c r="H47" s="32" t="s">
        <v>8</v>
      </c>
      <c r="I47" s="64"/>
      <c r="J47" s="32"/>
      <c r="K47" s="32"/>
      <c r="L47" s="32"/>
      <c r="M47" s="32"/>
      <c r="Q47" s="3"/>
      <c r="X47" s="70"/>
      <c r="AA47" s="32">
        <f>AA45+1</f>
        <v>39</v>
      </c>
      <c r="AB47" s="51"/>
      <c r="AC47" s="32" t="s">
        <v>1423</v>
      </c>
      <c r="AD47" s="52" t="s">
        <v>1424</v>
      </c>
      <c r="AE47" s="32" t="s">
        <v>1426</v>
      </c>
      <c r="AF47" s="32" t="s">
        <v>301</v>
      </c>
      <c r="AG47" s="31" t="s">
        <v>306</v>
      </c>
      <c r="AH47" s="32" t="s">
        <v>8</v>
      </c>
      <c r="AI47" s="64"/>
      <c r="AJ47" s="32"/>
      <c r="AK47" s="32"/>
      <c r="AL47" s="32"/>
      <c r="AM47" s="32"/>
      <c r="AQ47" s="3"/>
    </row>
    <row r="48" s="2" customFormat="1" ht="22.5" spans="1:39">
      <c r="A48" s="33">
        <f t="shared" si="1"/>
        <v>40</v>
      </c>
      <c r="B48" s="34"/>
      <c r="C48" s="33" t="s">
        <v>150</v>
      </c>
      <c r="D48" s="35" t="s">
        <v>151</v>
      </c>
      <c r="E48" s="33" t="s">
        <v>152</v>
      </c>
      <c r="F48" s="33" t="s">
        <v>153</v>
      </c>
      <c r="G48" s="33" t="s">
        <v>154</v>
      </c>
      <c r="H48" s="33" t="s">
        <v>8</v>
      </c>
      <c r="I48" s="45" t="s">
        <v>22</v>
      </c>
      <c r="J48" s="225" t="s">
        <v>155</v>
      </c>
      <c r="K48" s="33"/>
      <c r="L48" s="33"/>
      <c r="M48" s="33" t="s">
        <v>156</v>
      </c>
      <c r="X48" s="70"/>
      <c r="AA48" s="76">
        <f t="shared" ref="AA48:AA55" si="2">AA47+1</f>
        <v>40</v>
      </c>
      <c r="AB48" s="77"/>
      <c r="AC48" s="76" t="s">
        <v>150</v>
      </c>
      <c r="AD48" s="78" t="s">
        <v>151</v>
      </c>
      <c r="AE48" s="76" t="s">
        <v>644</v>
      </c>
      <c r="AF48" s="76" t="s">
        <v>153</v>
      </c>
      <c r="AG48" s="76" t="s">
        <v>154</v>
      </c>
      <c r="AH48" s="76" t="s">
        <v>8</v>
      </c>
      <c r="AI48" s="81" t="s">
        <v>22</v>
      </c>
      <c r="AJ48" s="230" t="s">
        <v>155</v>
      </c>
      <c r="AK48" s="76"/>
      <c r="AL48" s="76"/>
      <c r="AM48" s="76" t="s">
        <v>617</v>
      </c>
    </row>
    <row r="49" s="2" customFormat="1" ht="22.5" spans="1:39">
      <c r="A49" s="33">
        <f t="shared" si="1"/>
        <v>41</v>
      </c>
      <c r="B49" s="34"/>
      <c r="C49" s="33" t="s">
        <v>159</v>
      </c>
      <c r="D49" s="35" t="s">
        <v>160</v>
      </c>
      <c r="E49" s="33" t="s">
        <v>161</v>
      </c>
      <c r="F49" s="33" t="s">
        <v>153</v>
      </c>
      <c r="G49" s="33" t="s">
        <v>162</v>
      </c>
      <c r="H49" s="33"/>
      <c r="I49" s="45" t="s">
        <v>22</v>
      </c>
      <c r="J49" s="33">
        <v>0</v>
      </c>
      <c r="K49" s="33"/>
      <c r="L49" s="33"/>
      <c r="M49" s="33"/>
      <c r="X49" s="70"/>
      <c r="AA49" s="76">
        <f t="shared" si="2"/>
        <v>41</v>
      </c>
      <c r="AB49" s="77"/>
      <c r="AC49" s="76" t="s">
        <v>159</v>
      </c>
      <c r="AD49" s="78" t="s">
        <v>160</v>
      </c>
      <c r="AE49" s="76" t="s">
        <v>163</v>
      </c>
      <c r="AF49" s="76" t="s">
        <v>153</v>
      </c>
      <c r="AG49" s="76" t="s">
        <v>162</v>
      </c>
      <c r="AH49" s="76"/>
      <c r="AI49" s="81" t="s">
        <v>22</v>
      </c>
      <c r="AJ49" s="76">
        <v>0</v>
      </c>
      <c r="AK49" s="76"/>
      <c r="AL49" s="76"/>
      <c r="AM49" s="76"/>
    </row>
    <row r="50" s="2" customFormat="1" spans="1:39">
      <c r="A50" s="33">
        <f t="shared" si="1"/>
        <v>42</v>
      </c>
      <c r="B50" s="34"/>
      <c r="C50" s="33" t="s">
        <v>164</v>
      </c>
      <c r="D50" s="35" t="s">
        <v>165</v>
      </c>
      <c r="E50" s="33"/>
      <c r="F50" s="33" t="s">
        <v>141</v>
      </c>
      <c r="G50" s="33" t="s">
        <v>142</v>
      </c>
      <c r="H50" s="33">
        <v>32</v>
      </c>
      <c r="I50" s="45"/>
      <c r="J50" s="33"/>
      <c r="K50" s="33"/>
      <c r="L50" s="33"/>
      <c r="M50" s="33"/>
      <c r="X50" s="70"/>
      <c r="AA50" s="76">
        <f t="shared" si="2"/>
        <v>42</v>
      </c>
      <c r="AB50" s="77"/>
      <c r="AC50" s="76" t="s">
        <v>164</v>
      </c>
      <c r="AD50" s="78" t="s">
        <v>165</v>
      </c>
      <c r="AE50" s="76"/>
      <c r="AF50" s="76" t="s">
        <v>141</v>
      </c>
      <c r="AG50" s="76" t="s">
        <v>142</v>
      </c>
      <c r="AH50" s="76">
        <v>32</v>
      </c>
      <c r="AI50" s="81"/>
      <c r="AJ50" s="76"/>
      <c r="AK50" s="76"/>
      <c r="AL50" s="76"/>
      <c r="AM50" s="76"/>
    </row>
    <row r="51" s="2" customFormat="1" spans="1:39">
      <c r="A51" s="33">
        <f t="shared" si="1"/>
        <v>43</v>
      </c>
      <c r="B51" s="34"/>
      <c r="C51" s="33" t="s">
        <v>166</v>
      </c>
      <c r="D51" s="35" t="s">
        <v>167</v>
      </c>
      <c r="E51" s="33"/>
      <c r="F51" s="33" t="s">
        <v>153</v>
      </c>
      <c r="G51" s="33" t="s">
        <v>142</v>
      </c>
      <c r="H51" s="33">
        <v>32</v>
      </c>
      <c r="I51" s="45"/>
      <c r="J51" s="33"/>
      <c r="K51" s="33"/>
      <c r="L51" s="33"/>
      <c r="M51" s="33" t="s">
        <v>168</v>
      </c>
      <c r="X51" s="70"/>
      <c r="AA51" s="76">
        <f t="shared" si="2"/>
        <v>43</v>
      </c>
      <c r="AB51" s="77"/>
      <c r="AC51" s="76" t="s">
        <v>166</v>
      </c>
      <c r="AD51" s="78" t="s">
        <v>167</v>
      </c>
      <c r="AE51" s="76"/>
      <c r="AF51" s="76" t="s">
        <v>153</v>
      </c>
      <c r="AG51" s="76" t="s">
        <v>142</v>
      </c>
      <c r="AH51" s="76">
        <v>32</v>
      </c>
      <c r="AI51" s="81"/>
      <c r="AJ51" s="76"/>
      <c r="AK51" s="76"/>
      <c r="AL51" s="76"/>
      <c r="AM51" s="76" t="s">
        <v>1159</v>
      </c>
    </row>
    <row r="52" s="2" customFormat="1" spans="1:39">
      <c r="A52" s="33">
        <f t="shared" si="1"/>
        <v>44</v>
      </c>
      <c r="B52" s="34"/>
      <c r="C52" s="36" t="s">
        <v>170</v>
      </c>
      <c r="D52" s="35" t="s">
        <v>171</v>
      </c>
      <c r="E52" s="33"/>
      <c r="F52" s="33" t="s">
        <v>172</v>
      </c>
      <c r="G52" s="33" t="s">
        <v>173</v>
      </c>
      <c r="H52" s="33" t="s">
        <v>8</v>
      </c>
      <c r="I52" s="45" t="s">
        <v>22</v>
      </c>
      <c r="J52" s="33"/>
      <c r="K52" s="33"/>
      <c r="L52" s="33"/>
      <c r="M52" s="33"/>
      <c r="X52" s="70"/>
      <c r="AA52" s="76">
        <f t="shared" si="2"/>
        <v>44</v>
      </c>
      <c r="AB52" s="77"/>
      <c r="AC52" s="76" t="s">
        <v>351</v>
      </c>
      <c r="AD52" s="78" t="s">
        <v>171</v>
      </c>
      <c r="AE52" s="76"/>
      <c r="AF52" s="76" t="s">
        <v>172</v>
      </c>
      <c r="AG52" s="76" t="s">
        <v>173</v>
      </c>
      <c r="AH52" s="76" t="s">
        <v>8</v>
      </c>
      <c r="AI52" s="81" t="s">
        <v>22</v>
      </c>
      <c r="AJ52" s="76"/>
      <c r="AK52" s="76"/>
      <c r="AL52" s="76"/>
      <c r="AM52" s="76"/>
    </row>
    <row r="53" s="2" customFormat="1" spans="1:39">
      <c r="A53" s="33">
        <f t="shared" si="1"/>
        <v>45</v>
      </c>
      <c r="B53" s="34"/>
      <c r="C53" s="33" t="s">
        <v>174</v>
      </c>
      <c r="D53" s="35" t="s">
        <v>175</v>
      </c>
      <c r="E53" s="33"/>
      <c r="F53" s="33" t="s">
        <v>141</v>
      </c>
      <c r="G53" s="33" t="s">
        <v>142</v>
      </c>
      <c r="H53" s="33">
        <v>32</v>
      </c>
      <c r="I53" s="45"/>
      <c r="J53" s="33"/>
      <c r="K53" s="33"/>
      <c r="L53" s="33"/>
      <c r="M53" s="33"/>
      <c r="X53" s="70"/>
      <c r="AA53" s="76">
        <f t="shared" si="2"/>
        <v>45</v>
      </c>
      <c r="AB53" s="77"/>
      <c r="AC53" s="76" t="s">
        <v>174</v>
      </c>
      <c r="AD53" s="78" t="s">
        <v>175</v>
      </c>
      <c r="AE53" s="76"/>
      <c r="AF53" s="76" t="s">
        <v>141</v>
      </c>
      <c r="AG53" s="76" t="s">
        <v>142</v>
      </c>
      <c r="AH53" s="76">
        <v>32</v>
      </c>
      <c r="AI53" s="81"/>
      <c r="AJ53" s="76"/>
      <c r="AK53" s="76"/>
      <c r="AL53" s="76"/>
      <c r="AM53" s="76"/>
    </row>
    <row r="54" s="2" customFormat="1" ht="22.5" spans="1:39">
      <c r="A54" s="33">
        <f t="shared" si="1"/>
        <v>46</v>
      </c>
      <c r="B54" s="34"/>
      <c r="C54" s="33" t="s">
        <v>176</v>
      </c>
      <c r="D54" s="35" t="s">
        <v>177</v>
      </c>
      <c r="E54" s="33" t="s">
        <v>178</v>
      </c>
      <c r="F54" s="33" t="s">
        <v>153</v>
      </c>
      <c r="G54" s="33" t="s">
        <v>142</v>
      </c>
      <c r="H54" s="33">
        <v>32</v>
      </c>
      <c r="I54" s="45"/>
      <c r="J54" s="33"/>
      <c r="K54" s="33"/>
      <c r="L54" s="33"/>
      <c r="M54" s="33" t="s">
        <v>179</v>
      </c>
      <c r="X54" s="70"/>
      <c r="AA54" s="76">
        <f t="shared" si="2"/>
        <v>46</v>
      </c>
      <c r="AB54" s="77"/>
      <c r="AC54" s="76" t="s">
        <v>176</v>
      </c>
      <c r="AD54" s="78" t="s">
        <v>177</v>
      </c>
      <c r="AE54" s="76" t="s">
        <v>180</v>
      </c>
      <c r="AF54" s="76" t="s">
        <v>153</v>
      </c>
      <c r="AG54" s="76" t="s">
        <v>142</v>
      </c>
      <c r="AH54" s="76">
        <v>32</v>
      </c>
      <c r="AI54" s="81"/>
      <c r="AJ54" s="76"/>
      <c r="AK54" s="76"/>
      <c r="AL54" s="76"/>
      <c r="AM54" s="76" t="s">
        <v>1160</v>
      </c>
    </row>
    <row r="55" s="2" customFormat="1" spans="1:39">
      <c r="A55" s="33">
        <f t="shared" si="1"/>
        <v>47</v>
      </c>
      <c r="B55" s="34"/>
      <c r="C55" s="36" t="s">
        <v>182</v>
      </c>
      <c r="D55" s="35" t="s">
        <v>183</v>
      </c>
      <c r="E55" s="33"/>
      <c r="F55" s="33" t="s">
        <v>172</v>
      </c>
      <c r="G55" s="33" t="s">
        <v>173</v>
      </c>
      <c r="H55" s="33" t="s">
        <v>8</v>
      </c>
      <c r="I55" s="45" t="s">
        <v>22</v>
      </c>
      <c r="J55" s="33"/>
      <c r="K55" s="33"/>
      <c r="L55" s="33"/>
      <c r="M55" s="33"/>
      <c r="X55" s="70"/>
      <c r="AA55" s="76">
        <f t="shared" si="2"/>
        <v>47</v>
      </c>
      <c r="AB55" s="77"/>
      <c r="AC55" s="76" t="s">
        <v>353</v>
      </c>
      <c r="AD55" s="78" t="s">
        <v>183</v>
      </c>
      <c r="AE55" s="76"/>
      <c r="AF55" s="76" t="s">
        <v>172</v>
      </c>
      <c r="AG55" s="76" t="s">
        <v>173</v>
      </c>
      <c r="AH55" s="76" t="s">
        <v>8</v>
      </c>
      <c r="AI55" s="81" t="s">
        <v>22</v>
      </c>
      <c r="AJ55" s="76"/>
      <c r="AK55" s="76"/>
      <c r="AL55" s="76"/>
      <c r="AM55" s="76"/>
    </row>
    <row r="56" spans="46:49">
      <c r="AT56" s="2"/>
      <c r="AU56" s="2"/>
      <c r="AV56" s="2"/>
      <c r="AW56" s="2"/>
    </row>
    <row r="57" spans="1:49">
      <c r="A57" s="6"/>
      <c r="B57" s="7" t="s">
        <v>15</v>
      </c>
      <c r="C57" s="49" t="s">
        <v>70</v>
      </c>
      <c r="D57" s="50"/>
      <c r="I57" s="37"/>
      <c r="AA57" s="6"/>
      <c r="AB57" s="7" t="s">
        <v>86</v>
      </c>
      <c r="AC57" s="49" t="s">
        <v>70</v>
      </c>
      <c r="AD57" s="50"/>
      <c r="AI57" s="37"/>
      <c r="AT57" s="2"/>
      <c r="AU57" s="2"/>
      <c r="AV57" s="2"/>
      <c r="AW57" s="2"/>
    </row>
    <row r="58" spans="1:49">
      <c r="A58" s="10"/>
      <c r="B58" s="11" t="s">
        <v>124</v>
      </c>
      <c r="C58" s="49" t="str">
        <f>テーブル一覧!E23</f>
        <v>T_SOD_IIJ_RECEIVE</v>
      </c>
      <c r="D58" s="50"/>
      <c r="E58" s="2" t="s">
        <v>539</v>
      </c>
      <c r="F58" s="3"/>
      <c r="G58" s="3"/>
      <c r="H58" s="3"/>
      <c r="I58" s="37"/>
      <c r="J58" s="3"/>
      <c r="K58" s="3"/>
      <c r="L58" s="3"/>
      <c r="M58" s="38"/>
      <c r="N58" s="5" t="s">
        <v>1294</v>
      </c>
      <c r="P58" s="5" t="s">
        <v>1296</v>
      </c>
      <c r="AA58" s="10"/>
      <c r="AB58" s="11" t="s">
        <v>125</v>
      </c>
      <c r="AC58" s="49" t="e">
        <f>[1]テーブル一覧!AE23</f>
        <v>#REF!</v>
      </c>
      <c r="AD58" s="50"/>
      <c r="AE58" s="2" t="s">
        <v>539</v>
      </c>
      <c r="AF58" s="3"/>
      <c r="AG58" s="3"/>
      <c r="AH58" s="3"/>
      <c r="AI58" s="37"/>
      <c r="AJ58" s="3"/>
      <c r="AK58" s="3"/>
      <c r="AL58" s="3"/>
      <c r="AM58" s="38"/>
      <c r="AN58" s="5" t="s">
        <v>1297</v>
      </c>
      <c r="AP58" s="5" t="s">
        <v>1299</v>
      </c>
      <c r="AT58" s="2"/>
      <c r="AU58" s="2"/>
      <c r="AV58" s="2"/>
      <c r="AW58" s="2"/>
    </row>
    <row r="59" ht="22.5" spans="1:49">
      <c r="A59" s="12" t="s">
        <v>0</v>
      </c>
      <c r="B59" s="13"/>
      <c r="C59" s="14" t="s">
        <v>126</v>
      </c>
      <c r="D59" s="15" t="s">
        <v>15</v>
      </c>
      <c r="E59" s="14" t="s">
        <v>16</v>
      </c>
      <c r="F59" s="16" t="s">
        <v>127</v>
      </c>
      <c r="G59" s="26" t="s">
        <v>127</v>
      </c>
      <c r="H59" s="14" t="s">
        <v>128</v>
      </c>
      <c r="I59" s="39" t="s">
        <v>129</v>
      </c>
      <c r="J59" s="14" t="s">
        <v>130</v>
      </c>
      <c r="K59" s="14" t="s">
        <v>131</v>
      </c>
      <c r="L59" s="14" t="s">
        <v>132</v>
      </c>
      <c r="M59" s="14" t="s">
        <v>6</v>
      </c>
      <c r="N59" s="5" t="s">
        <v>1300</v>
      </c>
      <c r="AA59" s="12" t="s">
        <v>0</v>
      </c>
      <c r="AB59" s="13"/>
      <c r="AC59" s="14" t="s">
        <v>133</v>
      </c>
      <c r="AD59" s="15" t="s">
        <v>86</v>
      </c>
      <c r="AE59" s="14" t="s">
        <v>87</v>
      </c>
      <c r="AF59" s="16" t="s">
        <v>134</v>
      </c>
      <c r="AG59" s="14" t="s">
        <v>134</v>
      </c>
      <c r="AH59" s="14" t="s">
        <v>128</v>
      </c>
      <c r="AI59" s="39" t="s">
        <v>135</v>
      </c>
      <c r="AJ59" s="14" t="s">
        <v>130</v>
      </c>
      <c r="AK59" s="14" t="s">
        <v>136</v>
      </c>
      <c r="AL59" s="14" t="s">
        <v>132</v>
      </c>
      <c r="AM59" s="14" t="s">
        <v>137</v>
      </c>
      <c r="AN59" s="5" t="s">
        <v>1302</v>
      </c>
      <c r="AT59" s="2"/>
      <c r="AU59" s="2"/>
      <c r="AV59" s="2"/>
      <c r="AW59" s="2"/>
    </row>
    <row r="60" s="2" customFormat="1" spans="1:43">
      <c r="A60" s="32">
        <v>1</v>
      </c>
      <c r="B60" s="51"/>
      <c r="C60" s="32" t="s">
        <v>139</v>
      </c>
      <c r="D60" s="52" t="s">
        <v>300</v>
      </c>
      <c r="E60" s="32"/>
      <c r="F60" s="32" t="s">
        <v>301</v>
      </c>
      <c r="G60" s="32" t="s">
        <v>302</v>
      </c>
      <c r="H60" s="32" t="s">
        <v>8</v>
      </c>
      <c r="I60" s="64" t="s">
        <v>22</v>
      </c>
      <c r="J60" s="32"/>
      <c r="K60" s="32" t="s">
        <v>303</v>
      </c>
      <c r="L60" s="32" t="s">
        <v>188</v>
      </c>
      <c r="M60" s="32"/>
      <c r="Q60" s="3"/>
      <c r="X60" s="70"/>
      <c r="AA60" s="32">
        <v>1</v>
      </c>
      <c r="AB60" s="51"/>
      <c r="AC60" s="32" t="s">
        <v>139</v>
      </c>
      <c r="AD60" s="52" t="s">
        <v>300</v>
      </c>
      <c r="AE60" s="32"/>
      <c r="AF60" s="32" t="s">
        <v>301</v>
      </c>
      <c r="AG60" s="79" t="s">
        <v>302</v>
      </c>
      <c r="AH60" s="32" t="s">
        <v>8</v>
      </c>
      <c r="AI60" s="64" t="s">
        <v>22</v>
      </c>
      <c r="AJ60" s="32"/>
      <c r="AK60" s="32" t="s">
        <v>303</v>
      </c>
      <c r="AL60" s="32" t="s">
        <v>188</v>
      </c>
      <c r="AM60" s="32"/>
      <c r="AQ60" s="3"/>
    </row>
    <row r="61" s="46" customFormat="1" ht="22.5" spans="1:49">
      <c r="A61" s="32">
        <f t="shared" ref="A61:A124" si="3">A60+1</f>
        <v>2</v>
      </c>
      <c r="B61" s="51"/>
      <c r="C61" s="32" t="s">
        <v>1307</v>
      </c>
      <c r="D61" s="52" t="s">
        <v>1427</v>
      </c>
      <c r="E61" s="32" t="s">
        <v>1428</v>
      </c>
      <c r="F61" s="32" t="s">
        <v>153</v>
      </c>
      <c r="G61" s="31" t="s">
        <v>254</v>
      </c>
      <c r="H61" s="32" t="s">
        <v>8</v>
      </c>
      <c r="I61" s="64" t="s">
        <v>22</v>
      </c>
      <c r="J61" s="32"/>
      <c r="K61" s="32"/>
      <c r="L61" s="32"/>
      <c r="M61" s="32"/>
      <c r="N61" s="2"/>
      <c r="O61" s="2" t="s">
        <v>22</v>
      </c>
      <c r="P61" s="2" t="s">
        <v>22</v>
      </c>
      <c r="Q61" s="3" t="s">
        <v>1429</v>
      </c>
      <c r="R61" s="2"/>
      <c r="S61" s="2"/>
      <c r="T61" s="2"/>
      <c r="U61" s="2"/>
      <c r="X61" s="70"/>
      <c r="AA61" s="32">
        <f t="shared" ref="AA61:AA124" si="4">AA60+1</f>
        <v>2</v>
      </c>
      <c r="AB61" s="51"/>
      <c r="AC61" s="32" t="s">
        <v>1307</v>
      </c>
      <c r="AD61" s="52" t="s">
        <v>1427</v>
      </c>
      <c r="AE61" s="32" t="s">
        <v>1430</v>
      </c>
      <c r="AF61" s="32" t="s">
        <v>153</v>
      </c>
      <c r="AG61" s="31" t="s">
        <v>254</v>
      </c>
      <c r="AH61" s="32" t="s">
        <v>8</v>
      </c>
      <c r="AI61" s="64" t="s">
        <v>22</v>
      </c>
      <c r="AJ61" s="32"/>
      <c r="AK61" s="32"/>
      <c r="AL61" s="32"/>
      <c r="AM61" s="32"/>
      <c r="AN61" s="2"/>
      <c r="AO61" s="2" t="s">
        <v>22</v>
      </c>
      <c r="AP61" s="2" t="s">
        <v>22</v>
      </c>
      <c r="AQ61" s="3" t="s">
        <v>1431</v>
      </c>
      <c r="AR61" s="2"/>
      <c r="AS61" s="2"/>
      <c r="AT61" s="2"/>
      <c r="AU61" s="2"/>
      <c r="AV61" s="2"/>
      <c r="AW61" s="2"/>
    </row>
    <row r="62" s="2" customFormat="1" ht="22.5" spans="1:43">
      <c r="A62" s="32">
        <f t="shared" si="3"/>
        <v>3</v>
      </c>
      <c r="B62" s="51"/>
      <c r="C62" s="32" t="s">
        <v>1111</v>
      </c>
      <c r="D62" s="32" t="s">
        <v>1112</v>
      </c>
      <c r="E62" s="32" t="s">
        <v>1268</v>
      </c>
      <c r="F62" s="32" t="s">
        <v>141</v>
      </c>
      <c r="G62" s="31" t="s">
        <v>142</v>
      </c>
      <c r="H62" s="32">
        <v>16</v>
      </c>
      <c r="I62" s="64" t="s">
        <v>22</v>
      </c>
      <c r="J62" s="32"/>
      <c r="K62" s="32"/>
      <c r="L62" s="32" t="s">
        <v>310</v>
      </c>
      <c r="M62" s="32"/>
      <c r="N62" s="2" t="s">
        <v>22</v>
      </c>
      <c r="O62" s="2" t="s">
        <v>22</v>
      </c>
      <c r="P62" s="2" t="s">
        <v>22</v>
      </c>
      <c r="Q62" s="3"/>
      <c r="X62" s="70"/>
      <c r="AA62" s="32">
        <f t="shared" si="4"/>
        <v>3</v>
      </c>
      <c r="AB62" s="51"/>
      <c r="AC62" s="32" t="s">
        <v>1111</v>
      </c>
      <c r="AD62" s="32" t="s">
        <v>1112</v>
      </c>
      <c r="AE62" s="32" t="s">
        <v>1270</v>
      </c>
      <c r="AF62" s="32" t="s">
        <v>141</v>
      </c>
      <c r="AG62" s="31" t="s">
        <v>142</v>
      </c>
      <c r="AH62" s="32">
        <v>16</v>
      </c>
      <c r="AI62" s="64" t="s">
        <v>22</v>
      </c>
      <c r="AJ62" s="32"/>
      <c r="AK62" s="32"/>
      <c r="AL62" s="32" t="s">
        <v>310</v>
      </c>
      <c r="AM62" s="32"/>
      <c r="AN62" s="2" t="s">
        <v>22</v>
      </c>
      <c r="AO62" s="2" t="s">
        <v>22</v>
      </c>
      <c r="AP62" s="2" t="s">
        <v>22</v>
      </c>
      <c r="AQ62" s="3"/>
    </row>
    <row r="63" s="2" customFormat="1" ht="45" spans="1:43">
      <c r="A63" s="61">
        <f t="shared" si="3"/>
        <v>4</v>
      </c>
      <c r="B63" s="62"/>
      <c r="C63" s="61" t="s">
        <v>304</v>
      </c>
      <c r="D63" s="63" t="s">
        <v>540</v>
      </c>
      <c r="E63" s="61" t="s">
        <v>1432</v>
      </c>
      <c r="F63" s="61" t="s">
        <v>301</v>
      </c>
      <c r="G63" s="56" t="s">
        <v>306</v>
      </c>
      <c r="H63" s="61" t="s">
        <v>8</v>
      </c>
      <c r="I63" s="69"/>
      <c r="J63" s="61"/>
      <c r="K63" s="61"/>
      <c r="L63" s="61"/>
      <c r="M63" s="61" t="s">
        <v>230</v>
      </c>
      <c r="P63" s="2" t="s">
        <v>22</v>
      </c>
      <c r="Q63" s="3"/>
      <c r="X63" s="70"/>
      <c r="AA63" s="56">
        <f t="shared" si="4"/>
        <v>4</v>
      </c>
      <c r="AB63" s="57"/>
      <c r="AC63" s="56" t="s">
        <v>304</v>
      </c>
      <c r="AD63" s="58" t="s">
        <v>540</v>
      </c>
      <c r="AE63" s="56" t="s">
        <v>1432</v>
      </c>
      <c r="AF63" s="56" t="s">
        <v>301</v>
      </c>
      <c r="AG63" s="71" t="s">
        <v>306</v>
      </c>
      <c r="AH63" s="56" t="s">
        <v>8</v>
      </c>
      <c r="AI63" s="66"/>
      <c r="AJ63" s="56"/>
      <c r="AK63" s="56"/>
      <c r="AL63" s="56"/>
      <c r="AM63" s="56" t="s">
        <v>230</v>
      </c>
      <c r="AP63" s="2" t="s">
        <v>22</v>
      </c>
      <c r="AQ63" s="3"/>
    </row>
    <row r="64" s="2" customFormat="1" ht="67.5" spans="1:43">
      <c r="A64" s="32">
        <f t="shared" si="3"/>
        <v>5</v>
      </c>
      <c r="B64" s="51"/>
      <c r="C64" s="32" t="s">
        <v>344</v>
      </c>
      <c r="D64" s="52" t="s">
        <v>373</v>
      </c>
      <c r="E64" s="32" t="s">
        <v>1433</v>
      </c>
      <c r="F64" s="32" t="s">
        <v>153</v>
      </c>
      <c r="G64" s="31" t="s">
        <v>254</v>
      </c>
      <c r="H64" s="32" t="s">
        <v>8</v>
      </c>
      <c r="I64" s="64" t="s">
        <v>22</v>
      </c>
      <c r="J64" s="32">
        <v>0</v>
      </c>
      <c r="K64" s="32"/>
      <c r="L64" s="32" t="s">
        <v>315</v>
      </c>
      <c r="M64" s="32"/>
      <c r="N64" s="2" t="s">
        <v>22</v>
      </c>
      <c r="O64" s="2" t="s">
        <v>22</v>
      </c>
      <c r="P64" s="2" t="s">
        <v>22</v>
      </c>
      <c r="Q64" s="3" t="s">
        <v>1344</v>
      </c>
      <c r="X64" s="70"/>
      <c r="AA64" s="32">
        <f t="shared" si="4"/>
        <v>5</v>
      </c>
      <c r="AB64" s="51"/>
      <c r="AC64" s="32" t="s">
        <v>344</v>
      </c>
      <c r="AD64" s="52" t="s">
        <v>373</v>
      </c>
      <c r="AE64" s="32" t="s">
        <v>1434</v>
      </c>
      <c r="AF64" s="32" t="s">
        <v>153</v>
      </c>
      <c r="AG64" s="31" t="s">
        <v>254</v>
      </c>
      <c r="AH64" s="32" t="s">
        <v>8</v>
      </c>
      <c r="AI64" s="64" t="s">
        <v>22</v>
      </c>
      <c r="AJ64" s="32">
        <v>0</v>
      </c>
      <c r="AK64" s="32"/>
      <c r="AL64" s="32" t="s">
        <v>315</v>
      </c>
      <c r="AM64" s="32"/>
      <c r="AN64" s="2" t="s">
        <v>22</v>
      </c>
      <c r="AO64" s="2" t="s">
        <v>22</v>
      </c>
      <c r="AP64" s="2" t="s">
        <v>22</v>
      </c>
      <c r="AQ64" s="3" t="s">
        <v>1346</v>
      </c>
    </row>
    <row r="65" s="2" customFormat="1" spans="1:43">
      <c r="A65" s="53">
        <f t="shared" si="3"/>
        <v>6</v>
      </c>
      <c r="B65" s="54" t="s">
        <v>1314</v>
      </c>
      <c r="C65" s="53" t="s">
        <v>1166</v>
      </c>
      <c r="D65" s="55" t="s">
        <v>1167</v>
      </c>
      <c r="E65" s="53"/>
      <c r="F65" s="53" t="s">
        <v>153</v>
      </c>
      <c r="G65" s="53" t="s">
        <v>254</v>
      </c>
      <c r="H65" s="53" t="s">
        <v>8</v>
      </c>
      <c r="I65" s="65" t="s">
        <v>22</v>
      </c>
      <c r="J65" s="53">
        <v>0</v>
      </c>
      <c r="K65" s="53"/>
      <c r="L65" s="53"/>
      <c r="M65" s="61" t="s">
        <v>230</v>
      </c>
      <c r="Q65" s="3"/>
      <c r="X65" s="70"/>
      <c r="AA65" s="32">
        <f t="shared" si="4"/>
        <v>6</v>
      </c>
      <c r="AB65" s="51"/>
      <c r="AC65" s="32" t="s">
        <v>1166</v>
      </c>
      <c r="AD65" s="52" t="s">
        <v>1167</v>
      </c>
      <c r="AE65" s="32"/>
      <c r="AF65" s="32" t="s">
        <v>153</v>
      </c>
      <c r="AG65" s="31" t="s">
        <v>254</v>
      </c>
      <c r="AH65" s="32" t="s">
        <v>8</v>
      </c>
      <c r="AI65" s="64" t="s">
        <v>22</v>
      </c>
      <c r="AJ65" s="32">
        <v>0</v>
      </c>
      <c r="AK65" s="32"/>
      <c r="AL65" s="32"/>
      <c r="AM65" s="32"/>
      <c r="AQ65" s="3"/>
    </row>
    <row r="66" ht="22.5" spans="1:49">
      <c r="A66" s="32">
        <f t="shared" si="3"/>
        <v>7</v>
      </c>
      <c r="B66" s="51"/>
      <c r="C66" s="32" t="s">
        <v>1317</v>
      </c>
      <c r="D66" s="52" t="s">
        <v>1318</v>
      </c>
      <c r="E66" s="32" t="s">
        <v>1435</v>
      </c>
      <c r="F66" s="32" t="s">
        <v>141</v>
      </c>
      <c r="G66" s="31" t="s">
        <v>142</v>
      </c>
      <c r="H66" s="32">
        <v>60</v>
      </c>
      <c r="I66" s="64"/>
      <c r="J66" s="32"/>
      <c r="K66" s="32"/>
      <c r="L66" s="32"/>
      <c r="M66" s="32"/>
      <c r="N66" s="2"/>
      <c r="P66" s="5" t="s">
        <v>22</v>
      </c>
      <c r="AA66" s="32">
        <f t="shared" si="4"/>
        <v>7</v>
      </c>
      <c r="AB66" s="51"/>
      <c r="AC66" s="32" t="s">
        <v>1317</v>
      </c>
      <c r="AD66" s="52" t="s">
        <v>1318</v>
      </c>
      <c r="AE66" s="32" t="s">
        <v>1436</v>
      </c>
      <c r="AF66" s="32" t="s">
        <v>141</v>
      </c>
      <c r="AG66" s="31" t="s">
        <v>142</v>
      </c>
      <c r="AH66" s="32">
        <v>60</v>
      </c>
      <c r="AI66" s="64"/>
      <c r="AJ66" s="32"/>
      <c r="AK66" s="32"/>
      <c r="AL66" s="32"/>
      <c r="AM66" s="32"/>
      <c r="AN66" s="2"/>
      <c r="AP66" s="5" t="s">
        <v>22</v>
      </c>
      <c r="AT66" s="2"/>
      <c r="AU66" s="2"/>
      <c r="AV66" s="2"/>
      <c r="AW66" s="2"/>
    </row>
    <row r="67" s="2" customFormat="1" ht="409.5" spans="1:43">
      <c r="A67" s="32">
        <f t="shared" si="3"/>
        <v>8</v>
      </c>
      <c r="B67" s="51"/>
      <c r="C67" s="32" t="s">
        <v>554</v>
      </c>
      <c r="D67" s="52" t="s">
        <v>555</v>
      </c>
      <c r="E67" s="82" t="s">
        <v>1437</v>
      </c>
      <c r="F67" s="32" t="s">
        <v>141</v>
      </c>
      <c r="G67" s="31" t="s">
        <v>142</v>
      </c>
      <c r="H67" s="32">
        <v>6</v>
      </c>
      <c r="I67" s="64"/>
      <c r="J67" s="32"/>
      <c r="K67" s="32"/>
      <c r="L67" s="32"/>
      <c r="M67" s="83" t="s">
        <v>1438</v>
      </c>
      <c r="N67" s="2" t="s">
        <v>22</v>
      </c>
      <c r="O67" s="2" t="s">
        <v>22</v>
      </c>
      <c r="P67" s="2" t="s">
        <v>22</v>
      </c>
      <c r="Q67" s="3" t="s">
        <v>1344</v>
      </c>
      <c r="X67" s="70"/>
      <c r="AA67" s="32">
        <f t="shared" si="4"/>
        <v>8</v>
      </c>
      <c r="AB67" s="51"/>
      <c r="AC67" s="32" t="s">
        <v>554</v>
      </c>
      <c r="AD67" s="52" t="s">
        <v>555</v>
      </c>
      <c r="AE67" s="82" t="s">
        <v>1439</v>
      </c>
      <c r="AF67" s="32" t="s">
        <v>141</v>
      </c>
      <c r="AG67" s="31" t="s">
        <v>142</v>
      </c>
      <c r="AH67" s="32">
        <v>6</v>
      </c>
      <c r="AI67" s="64"/>
      <c r="AJ67" s="32"/>
      <c r="AK67" s="32"/>
      <c r="AL67" s="32"/>
      <c r="AM67" s="83" t="s">
        <v>1440</v>
      </c>
      <c r="AN67" s="2" t="s">
        <v>22</v>
      </c>
      <c r="AO67" s="2" t="s">
        <v>22</v>
      </c>
      <c r="AP67" s="2" t="s">
        <v>22</v>
      </c>
      <c r="AQ67" s="3" t="s">
        <v>1346</v>
      </c>
    </row>
    <row r="68" s="2" customFormat="1" ht="45" spans="1:43">
      <c r="A68" s="32">
        <f t="shared" si="3"/>
        <v>9</v>
      </c>
      <c r="B68" s="51"/>
      <c r="C68" s="32" t="s">
        <v>556</v>
      </c>
      <c r="D68" s="52" t="s">
        <v>557</v>
      </c>
      <c r="E68" s="32" t="s">
        <v>1441</v>
      </c>
      <c r="F68" s="32" t="s">
        <v>141</v>
      </c>
      <c r="G68" s="31" t="s">
        <v>142</v>
      </c>
      <c r="H68" s="32">
        <v>3</v>
      </c>
      <c r="I68" s="64"/>
      <c r="J68" s="32"/>
      <c r="K68" s="32"/>
      <c r="L68" s="32"/>
      <c r="M68" s="32" t="s">
        <v>1442</v>
      </c>
      <c r="N68" s="2" t="s">
        <v>22</v>
      </c>
      <c r="O68" s="2" t="s">
        <v>22</v>
      </c>
      <c r="P68" s="2" t="s">
        <v>22</v>
      </c>
      <c r="Q68" s="3" t="s">
        <v>1344</v>
      </c>
      <c r="X68" s="70"/>
      <c r="AA68" s="32">
        <f t="shared" si="4"/>
        <v>9</v>
      </c>
      <c r="AB68" s="51"/>
      <c r="AC68" s="32" t="s">
        <v>556</v>
      </c>
      <c r="AD68" s="52" t="s">
        <v>557</v>
      </c>
      <c r="AE68" s="32" t="s">
        <v>1443</v>
      </c>
      <c r="AF68" s="32" t="s">
        <v>141</v>
      </c>
      <c r="AG68" s="31" t="s">
        <v>142</v>
      </c>
      <c r="AH68" s="32">
        <v>3</v>
      </c>
      <c r="AI68" s="64"/>
      <c r="AJ68" s="32"/>
      <c r="AK68" s="32"/>
      <c r="AL68" s="32"/>
      <c r="AM68" s="32" t="s">
        <v>1444</v>
      </c>
      <c r="AN68" s="2" t="s">
        <v>22</v>
      </c>
      <c r="AO68" s="2" t="s">
        <v>22</v>
      </c>
      <c r="AP68" s="2" t="s">
        <v>22</v>
      </c>
      <c r="AQ68" s="3" t="s">
        <v>1346</v>
      </c>
    </row>
    <row r="69" s="2" customFormat="1" ht="33.75" spans="1:43">
      <c r="A69" s="32">
        <f t="shared" si="3"/>
        <v>10</v>
      </c>
      <c r="B69" s="51"/>
      <c r="C69" s="51" t="s">
        <v>420</v>
      </c>
      <c r="D69" s="52" t="s">
        <v>560</v>
      </c>
      <c r="E69" s="32" t="s">
        <v>1445</v>
      </c>
      <c r="F69" s="32" t="s">
        <v>141</v>
      </c>
      <c r="G69" s="31" t="s">
        <v>142</v>
      </c>
      <c r="H69" s="32">
        <v>11</v>
      </c>
      <c r="I69" s="64"/>
      <c r="J69" s="32"/>
      <c r="K69" s="32"/>
      <c r="L69" s="32"/>
      <c r="M69" s="32"/>
      <c r="N69" s="2" t="s">
        <v>22</v>
      </c>
      <c r="O69" s="2" t="s">
        <v>22</v>
      </c>
      <c r="P69" s="2" t="s">
        <v>22</v>
      </c>
      <c r="Q69" s="3"/>
      <c r="X69" s="70"/>
      <c r="AA69" s="32">
        <f t="shared" si="4"/>
        <v>10</v>
      </c>
      <c r="AB69" s="51"/>
      <c r="AC69" s="51" t="s">
        <v>420</v>
      </c>
      <c r="AD69" s="52" t="s">
        <v>560</v>
      </c>
      <c r="AE69" s="32" t="s">
        <v>1446</v>
      </c>
      <c r="AF69" s="32" t="s">
        <v>141</v>
      </c>
      <c r="AG69" s="31" t="s">
        <v>142</v>
      </c>
      <c r="AH69" s="32">
        <v>11</v>
      </c>
      <c r="AI69" s="64"/>
      <c r="AJ69" s="32"/>
      <c r="AK69" s="32"/>
      <c r="AL69" s="32"/>
      <c r="AM69" s="32"/>
      <c r="AN69" s="2" t="s">
        <v>22</v>
      </c>
      <c r="AO69" s="2" t="s">
        <v>22</v>
      </c>
      <c r="AP69" s="2" t="s">
        <v>22</v>
      </c>
      <c r="AQ69" s="3"/>
    </row>
    <row r="70" s="2" customFormat="1" ht="33.75" spans="1:43">
      <c r="A70" s="32">
        <f t="shared" si="3"/>
        <v>11</v>
      </c>
      <c r="B70" s="51"/>
      <c r="C70" s="51" t="s">
        <v>424</v>
      </c>
      <c r="D70" s="52" t="s">
        <v>1337</v>
      </c>
      <c r="E70" s="32" t="s">
        <v>1447</v>
      </c>
      <c r="F70" s="32" t="s">
        <v>141</v>
      </c>
      <c r="G70" s="31" t="s">
        <v>142</v>
      </c>
      <c r="H70" s="32">
        <v>11</v>
      </c>
      <c r="I70" s="64"/>
      <c r="J70" s="32"/>
      <c r="K70" s="32"/>
      <c r="L70" s="32"/>
      <c r="M70" s="32"/>
      <c r="N70" s="2" t="s">
        <v>22</v>
      </c>
      <c r="O70" s="2" t="s">
        <v>22</v>
      </c>
      <c r="P70" s="2" t="s">
        <v>22</v>
      </c>
      <c r="Q70" s="3"/>
      <c r="X70" s="70"/>
      <c r="AA70" s="32">
        <f t="shared" si="4"/>
        <v>11</v>
      </c>
      <c r="AB70" s="51"/>
      <c r="AC70" s="51" t="s">
        <v>424</v>
      </c>
      <c r="AD70" s="52" t="s">
        <v>1337</v>
      </c>
      <c r="AE70" s="32" t="s">
        <v>1448</v>
      </c>
      <c r="AF70" s="32" t="s">
        <v>141</v>
      </c>
      <c r="AG70" s="31" t="s">
        <v>142</v>
      </c>
      <c r="AH70" s="32">
        <v>11</v>
      </c>
      <c r="AI70" s="64"/>
      <c r="AJ70" s="32"/>
      <c r="AK70" s="32"/>
      <c r="AL70" s="32"/>
      <c r="AM70" s="32"/>
      <c r="AN70" s="2" t="s">
        <v>22</v>
      </c>
      <c r="AO70" s="2" t="s">
        <v>22</v>
      </c>
      <c r="AP70" s="2" t="s">
        <v>22</v>
      </c>
      <c r="AQ70" s="3"/>
    </row>
    <row r="71" s="2" customFormat="1" spans="1:43">
      <c r="A71" s="32">
        <f t="shared" si="3"/>
        <v>12</v>
      </c>
      <c r="B71" s="51"/>
      <c r="C71" s="51" t="s">
        <v>563</v>
      </c>
      <c r="D71" s="52" t="s">
        <v>564</v>
      </c>
      <c r="E71" s="32"/>
      <c r="F71" s="32" t="s">
        <v>141</v>
      </c>
      <c r="G71" s="31" t="s">
        <v>142</v>
      </c>
      <c r="H71" s="32">
        <v>80</v>
      </c>
      <c r="I71" s="64"/>
      <c r="J71" s="32"/>
      <c r="K71" s="32"/>
      <c r="L71" s="32"/>
      <c r="M71" s="32" t="s">
        <v>1449</v>
      </c>
      <c r="Q71" s="3"/>
      <c r="X71" s="70"/>
      <c r="AA71" s="32">
        <f t="shared" si="4"/>
        <v>12</v>
      </c>
      <c r="AB71" s="51"/>
      <c r="AC71" s="51" t="s">
        <v>563</v>
      </c>
      <c r="AD71" s="52" t="s">
        <v>564</v>
      </c>
      <c r="AE71" s="32"/>
      <c r="AF71" s="32" t="s">
        <v>141</v>
      </c>
      <c r="AG71" s="31" t="s">
        <v>142</v>
      </c>
      <c r="AH71" s="32">
        <v>80</v>
      </c>
      <c r="AI71" s="64"/>
      <c r="AJ71" s="32"/>
      <c r="AK71" s="32"/>
      <c r="AL71" s="32"/>
      <c r="AM71" s="32" t="s">
        <v>1450</v>
      </c>
      <c r="AQ71" s="3"/>
    </row>
    <row r="72" s="2" customFormat="1" spans="1:43">
      <c r="A72" s="32">
        <f t="shared" si="3"/>
        <v>13</v>
      </c>
      <c r="B72" s="51"/>
      <c r="C72" s="51" t="s">
        <v>440</v>
      </c>
      <c r="D72" s="52" t="s">
        <v>566</v>
      </c>
      <c r="E72" s="32"/>
      <c r="F72" s="32" t="s">
        <v>141</v>
      </c>
      <c r="G72" s="31" t="s">
        <v>142</v>
      </c>
      <c r="H72" s="32">
        <v>80</v>
      </c>
      <c r="I72" s="64"/>
      <c r="J72" s="32"/>
      <c r="K72" s="32"/>
      <c r="L72" s="32"/>
      <c r="M72" s="32" t="s">
        <v>1449</v>
      </c>
      <c r="Q72" s="3"/>
      <c r="X72" s="70"/>
      <c r="AA72" s="32">
        <f t="shared" si="4"/>
        <v>13</v>
      </c>
      <c r="AB72" s="51"/>
      <c r="AC72" s="51" t="s">
        <v>440</v>
      </c>
      <c r="AD72" s="52" t="s">
        <v>566</v>
      </c>
      <c r="AE72" s="32"/>
      <c r="AF72" s="32" t="s">
        <v>141</v>
      </c>
      <c r="AG72" s="31" t="s">
        <v>142</v>
      </c>
      <c r="AH72" s="32">
        <v>80</v>
      </c>
      <c r="AI72" s="64"/>
      <c r="AJ72" s="32"/>
      <c r="AK72" s="32"/>
      <c r="AL72" s="32"/>
      <c r="AM72" s="32" t="s">
        <v>1450</v>
      </c>
      <c r="AQ72" s="3"/>
    </row>
    <row r="73" s="2" customFormat="1" spans="1:43">
      <c r="A73" s="32">
        <f t="shared" si="3"/>
        <v>14</v>
      </c>
      <c r="B73" s="51"/>
      <c r="C73" s="51" t="s">
        <v>567</v>
      </c>
      <c r="D73" s="52" t="s">
        <v>568</v>
      </c>
      <c r="E73" s="32"/>
      <c r="F73" s="32" t="s">
        <v>141</v>
      </c>
      <c r="G73" s="31" t="s">
        <v>142</v>
      </c>
      <c r="H73" s="32">
        <v>11</v>
      </c>
      <c r="I73" s="64"/>
      <c r="J73" s="32"/>
      <c r="K73" s="32"/>
      <c r="L73" s="32"/>
      <c r="M73" s="32" t="s">
        <v>1449</v>
      </c>
      <c r="N73" s="2" t="s">
        <v>22</v>
      </c>
      <c r="O73" s="2" t="s">
        <v>22</v>
      </c>
      <c r="P73" s="2" t="s">
        <v>22</v>
      </c>
      <c r="Q73" s="3"/>
      <c r="X73" s="70"/>
      <c r="AA73" s="32">
        <f t="shared" si="4"/>
        <v>14</v>
      </c>
      <c r="AB73" s="51"/>
      <c r="AC73" s="51" t="s">
        <v>567</v>
      </c>
      <c r="AD73" s="52" t="s">
        <v>568</v>
      </c>
      <c r="AE73" s="32"/>
      <c r="AF73" s="32" t="s">
        <v>141</v>
      </c>
      <c r="AG73" s="31" t="s">
        <v>142</v>
      </c>
      <c r="AH73" s="32">
        <v>11</v>
      </c>
      <c r="AI73" s="64"/>
      <c r="AJ73" s="32"/>
      <c r="AK73" s="32"/>
      <c r="AL73" s="32"/>
      <c r="AM73" s="32" t="s">
        <v>1450</v>
      </c>
      <c r="AN73" s="2" t="s">
        <v>22</v>
      </c>
      <c r="AO73" s="2" t="s">
        <v>22</v>
      </c>
      <c r="AP73" s="2" t="s">
        <v>22</v>
      </c>
      <c r="AQ73" s="3"/>
    </row>
    <row r="74" s="2" customFormat="1" spans="1:43">
      <c r="A74" s="32">
        <f t="shared" si="3"/>
        <v>15</v>
      </c>
      <c r="B74" s="51"/>
      <c r="C74" s="51" t="s">
        <v>569</v>
      </c>
      <c r="D74" s="52" t="s">
        <v>1451</v>
      </c>
      <c r="E74" s="32"/>
      <c r="F74" s="32" t="s">
        <v>141</v>
      </c>
      <c r="G74" s="31" t="s">
        <v>142</v>
      </c>
      <c r="H74" s="32">
        <v>20</v>
      </c>
      <c r="I74" s="64"/>
      <c r="J74" s="32"/>
      <c r="K74" s="32"/>
      <c r="L74" s="32"/>
      <c r="M74" s="32" t="s">
        <v>1449</v>
      </c>
      <c r="N74" s="2" t="s">
        <v>22</v>
      </c>
      <c r="O74" s="2" t="s">
        <v>22</v>
      </c>
      <c r="P74" s="2" t="s">
        <v>22</v>
      </c>
      <c r="Q74" s="3"/>
      <c r="X74" s="70"/>
      <c r="AA74" s="32">
        <f t="shared" si="4"/>
        <v>15</v>
      </c>
      <c r="AB74" s="51"/>
      <c r="AC74" s="51" t="s">
        <v>569</v>
      </c>
      <c r="AD74" s="52" t="s">
        <v>1451</v>
      </c>
      <c r="AE74" s="32"/>
      <c r="AF74" s="32" t="s">
        <v>141</v>
      </c>
      <c r="AG74" s="31" t="s">
        <v>142</v>
      </c>
      <c r="AH74" s="32">
        <v>20</v>
      </c>
      <c r="AI74" s="64"/>
      <c r="AJ74" s="32"/>
      <c r="AK74" s="32"/>
      <c r="AL74" s="32"/>
      <c r="AM74" s="32" t="s">
        <v>1450</v>
      </c>
      <c r="AN74" s="2" t="s">
        <v>22</v>
      </c>
      <c r="AO74" s="2" t="s">
        <v>22</v>
      </c>
      <c r="AP74" s="2" t="s">
        <v>22</v>
      </c>
      <c r="AQ74" s="3"/>
    </row>
    <row r="75" s="2" customFormat="1" ht="45" spans="1:43">
      <c r="A75" s="32">
        <f t="shared" si="3"/>
        <v>16</v>
      </c>
      <c r="B75" s="51"/>
      <c r="C75" s="51" t="s">
        <v>1452</v>
      </c>
      <c r="D75" s="52" t="s">
        <v>1453</v>
      </c>
      <c r="E75" s="32" t="s">
        <v>1454</v>
      </c>
      <c r="F75" s="32" t="s">
        <v>153</v>
      </c>
      <c r="G75" s="31" t="s">
        <v>254</v>
      </c>
      <c r="H75" s="32" t="s">
        <v>8</v>
      </c>
      <c r="I75" s="64"/>
      <c r="J75" s="32"/>
      <c r="K75" s="32"/>
      <c r="L75" s="32"/>
      <c r="M75" s="32" t="s">
        <v>1455</v>
      </c>
      <c r="O75" s="2" t="s">
        <v>22</v>
      </c>
      <c r="P75" s="2" t="s">
        <v>22</v>
      </c>
      <c r="Q75" s="3" t="s">
        <v>1344</v>
      </c>
      <c r="X75" s="70"/>
      <c r="AA75" s="32">
        <f t="shared" si="4"/>
        <v>16</v>
      </c>
      <c r="AB75" s="51"/>
      <c r="AC75" s="51" t="s">
        <v>1452</v>
      </c>
      <c r="AD75" s="52" t="s">
        <v>1453</v>
      </c>
      <c r="AE75" s="32" t="s">
        <v>1456</v>
      </c>
      <c r="AF75" s="32" t="s">
        <v>153</v>
      </c>
      <c r="AG75" s="31" t="s">
        <v>254</v>
      </c>
      <c r="AH75" s="32" t="s">
        <v>8</v>
      </c>
      <c r="AI75" s="64"/>
      <c r="AJ75" s="32"/>
      <c r="AK75" s="32"/>
      <c r="AL75" s="32"/>
      <c r="AM75" s="32" t="s">
        <v>1457</v>
      </c>
      <c r="AO75" s="2" t="s">
        <v>22</v>
      </c>
      <c r="AP75" s="2" t="s">
        <v>22</v>
      </c>
      <c r="AQ75" s="3" t="s">
        <v>1346</v>
      </c>
    </row>
    <row r="76" s="2" customFormat="1" spans="1:43">
      <c r="A76" s="32">
        <f t="shared" si="3"/>
        <v>17</v>
      </c>
      <c r="B76" s="51"/>
      <c r="C76" s="51" t="s">
        <v>437</v>
      </c>
      <c r="D76" s="52" t="s">
        <v>438</v>
      </c>
      <c r="E76" s="32" t="s">
        <v>574</v>
      </c>
      <c r="F76" s="32" t="s">
        <v>141</v>
      </c>
      <c r="G76" s="31" t="s">
        <v>142</v>
      </c>
      <c r="H76" s="32">
        <v>8</v>
      </c>
      <c r="I76" s="64"/>
      <c r="J76" s="32"/>
      <c r="K76" s="32"/>
      <c r="L76" s="32"/>
      <c r="M76" s="32" t="s">
        <v>1449</v>
      </c>
      <c r="N76" s="2" t="s">
        <v>22</v>
      </c>
      <c r="O76" s="2" t="s">
        <v>22</v>
      </c>
      <c r="P76" s="2" t="s">
        <v>22</v>
      </c>
      <c r="Q76" s="3"/>
      <c r="X76" s="70"/>
      <c r="AA76" s="32">
        <f t="shared" si="4"/>
        <v>17</v>
      </c>
      <c r="AB76" s="51"/>
      <c r="AC76" s="51" t="s">
        <v>437</v>
      </c>
      <c r="AD76" s="52" t="s">
        <v>438</v>
      </c>
      <c r="AE76" s="32" t="s">
        <v>1458</v>
      </c>
      <c r="AF76" s="32" t="s">
        <v>141</v>
      </c>
      <c r="AG76" s="31" t="s">
        <v>142</v>
      </c>
      <c r="AH76" s="32">
        <v>8</v>
      </c>
      <c r="AI76" s="64"/>
      <c r="AJ76" s="32"/>
      <c r="AK76" s="32"/>
      <c r="AL76" s="32"/>
      <c r="AM76" s="32" t="s">
        <v>1450</v>
      </c>
      <c r="AN76" s="2" t="s">
        <v>22</v>
      </c>
      <c r="AO76" s="2" t="s">
        <v>22</v>
      </c>
      <c r="AP76" s="2" t="s">
        <v>22</v>
      </c>
      <c r="AQ76" s="3"/>
    </row>
    <row r="77" s="2" customFormat="1" spans="1:43">
      <c r="A77" s="32">
        <f t="shared" si="3"/>
        <v>18</v>
      </c>
      <c r="B77" s="51"/>
      <c r="C77" s="51" t="s">
        <v>577</v>
      </c>
      <c r="D77" s="52" t="s">
        <v>1459</v>
      </c>
      <c r="E77" s="32" t="s">
        <v>578</v>
      </c>
      <c r="F77" s="32" t="s">
        <v>141</v>
      </c>
      <c r="G77" s="31" t="s">
        <v>142</v>
      </c>
      <c r="H77" s="32">
        <v>8</v>
      </c>
      <c r="I77" s="64"/>
      <c r="J77" s="32"/>
      <c r="K77" s="32"/>
      <c r="L77" s="32"/>
      <c r="M77" s="32" t="s">
        <v>1449</v>
      </c>
      <c r="N77" s="2" t="s">
        <v>22</v>
      </c>
      <c r="O77" s="2" t="s">
        <v>22</v>
      </c>
      <c r="P77" s="2" t="s">
        <v>22</v>
      </c>
      <c r="Q77" s="3"/>
      <c r="X77" s="70"/>
      <c r="AA77" s="32">
        <f t="shared" si="4"/>
        <v>18</v>
      </c>
      <c r="AB77" s="51"/>
      <c r="AC77" s="51" t="s">
        <v>577</v>
      </c>
      <c r="AD77" s="52" t="s">
        <v>1459</v>
      </c>
      <c r="AE77" s="32" t="s">
        <v>1460</v>
      </c>
      <c r="AF77" s="32" t="s">
        <v>141</v>
      </c>
      <c r="AG77" s="31" t="s">
        <v>142</v>
      </c>
      <c r="AH77" s="32">
        <v>8</v>
      </c>
      <c r="AI77" s="64"/>
      <c r="AJ77" s="32"/>
      <c r="AK77" s="32"/>
      <c r="AL77" s="32"/>
      <c r="AM77" s="32" t="s">
        <v>1450</v>
      </c>
      <c r="AN77" s="2" t="s">
        <v>22</v>
      </c>
      <c r="AO77" s="2" t="s">
        <v>22</v>
      </c>
      <c r="AP77" s="2" t="s">
        <v>22</v>
      </c>
      <c r="AQ77" s="3"/>
    </row>
    <row r="78" s="2" customFormat="1" spans="1:43">
      <c r="A78" s="32">
        <f t="shared" si="3"/>
        <v>19</v>
      </c>
      <c r="B78" s="51"/>
      <c r="C78" s="51" t="s">
        <v>579</v>
      </c>
      <c r="D78" s="52" t="s">
        <v>1461</v>
      </c>
      <c r="E78" s="32" t="s">
        <v>1462</v>
      </c>
      <c r="F78" s="32" t="s">
        <v>141</v>
      </c>
      <c r="G78" s="31" t="s">
        <v>142</v>
      </c>
      <c r="H78" s="32">
        <v>8</v>
      </c>
      <c r="I78" s="64"/>
      <c r="J78" s="32"/>
      <c r="K78" s="32"/>
      <c r="L78" s="32"/>
      <c r="M78" s="32" t="s">
        <v>1449</v>
      </c>
      <c r="N78" s="2" t="s">
        <v>22</v>
      </c>
      <c r="O78" s="2" t="s">
        <v>22</v>
      </c>
      <c r="P78" s="2" t="s">
        <v>22</v>
      </c>
      <c r="Q78" s="3"/>
      <c r="X78" s="70"/>
      <c r="AA78" s="32">
        <f t="shared" si="4"/>
        <v>19</v>
      </c>
      <c r="AB78" s="51"/>
      <c r="AC78" s="51" t="s">
        <v>579</v>
      </c>
      <c r="AD78" s="52" t="s">
        <v>1461</v>
      </c>
      <c r="AE78" s="32" t="s">
        <v>1463</v>
      </c>
      <c r="AF78" s="32" t="s">
        <v>141</v>
      </c>
      <c r="AG78" s="31" t="s">
        <v>142</v>
      </c>
      <c r="AH78" s="32">
        <v>8</v>
      </c>
      <c r="AI78" s="64"/>
      <c r="AJ78" s="32"/>
      <c r="AK78" s="32"/>
      <c r="AL78" s="32"/>
      <c r="AM78" s="32" t="s">
        <v>1450</v>
      </c>
      <c r="AN78" s="2" t="s">
        <v>22</v>
      </c>
      <c r="AO78" s="2" t="s">
        <v>22</v>
      </c>
      <c r="AP78" s="2" t="s">
        <v>22</v>
      </c>
      <c r="AQ78" s="3"/>
    </row>
    <row r="79" s="2" customFormat="1" ht="22.5" spans="1:43">
      <c r="A79" s="32">
        <f t="shared" si="3"/>
        <v>20</v>
      </c>
      <c r="B79" s="51"/>
      <c r="C79" s="51" t="s">
        <v>1464</v>
      </c>
      <c r="D79" s="52" t="s">
        <v>1465</v>
      </c>
      <c r="E79" s="32"/>
      <c r="F79" s="32" t="s">
        <v>141</v>
      </c>
      <c r="G79" s="31" t="s">
        <v>142</v>
      </c>
      <c r="H79" s="32">
        <v>20</v>
      </c>
      <c r="I79" s="64"/>
      <c r="J79" s="32"/>
      <c r="K79" s="32"/>
      <c r="L79" s="32"/>
      <c r="M79" s="32" t="s">
        <v>1466</v>
      </c>
      <c r="Q79" s="3"/>
      <c r="X79" s="70"/>
      <c r="AA79" s="32">
        <f t="shared" si="4"/>
        <v>20</v>
      </c>
      <c r="AB79" s="51"/>
      <c r="AC79" s="51" t="s">
        <v>1464</v>
      </c>
      <c r="AD79" s="52" t="s">
        <v>1465</v>
      </c>
      <c r="AE79" s="32"/>
      <c r="AF79" s="32" t="s">
        <v>141</v>
      </c>
      <c r="AG79" s="31" t="s">
        <v>142</v>
      </c>
      <c r="AH79" s="32">
        <v>20</v>
      </c>
      <c r="AI79" s="64"/>
      <c r="AJ79" s="32"/>
      <c r="AK79" s="32"/>
      <c r="AL79" s="32"/>
      <c r="AM79" s="32" t="s">
        <v>1467</v>
      </c>
      <c r="AQ79" s="3"/>
    </row>
    <row r="80" s="2" customFormat="1" ht="67.5" spans="1:43">
      <c r="A80" s="32">
        <f t="shared" si="3"/>
        <v>21</v>
      </c>
      <c r="B80" s="51"/>
      <c r="C80" s="51" t="s">
        <v>1468</v>
      </c>
      <c r="D80" s="52" t="s">
        <v>1469</v>
      </c>
      <c r="E80" s="32" t="s">
        <v>1470</v>
      </c>
      <c r="F80" s="32" t="s">
        <v>153</v>
      </c>
      <c r="G80" s="31" t="s">
        <v>254</v>
      </c>
      <c r="H80" s="32" t="s">
        <v>8</v>
      </c>
      <c r="I80" s="64"/>
      <c r="J80" s="32"/>
      <c r="K80" s="32"/>
      <c r="L80" s="32"/>
      <c r="M80" s="32" t="s">
        <v>1449</v>
      </c>
      <c r="P80" s="2" t="s">
        <v>22</v>
      </c>
      <c r="Q80" s="3" t="s">
        <v>1344</v>
      </c>
      <c r="X80" s="70"/>
      <c r="AA80" s="32">
        <f t="shared" si="4"/>
        <v>21</v>
      </c>
      <c r="AB80" s="51"/>
      <c r="AC80" s="51" t="s">
        <v>1468</v>
      </c>
      <c r="AD80" s="52" t="s">
        <v>1469</v>
      </c>
      <c r="AE80" s="32" t="s">
        <v>1471</v>
      </c>
      <c r="AF80" s="32" t="s">
        <v>153</v>
      </c>
      <c r="AG80" s="31" t="s">
        <v>254</v>
      </c>
      <c r="AH80" s="32" t="s">
        <v>8</v>
      </c>
      <c r="AI80" s="64"/>
      <c r="AJ80" s="32"/>
      <c r="AK80" s="32"/>
      <c r="AL80" s="32"/>
      <c r="AM80" s="32" t="s">
        <v>1450</v>
      </c>
      <c r="AP80" s="2" t="s">
        <v>22</v>
      </c>
      <c r="AQ80" s="3" t="s">
        <v>1346</v>
      </c>
    </row>
    <row r="81" s="2" customFormat="1" spans="1:43">
      <c r="A81" s="32">
        <f t="shared" si="3"/>
        <v>22</v>
      </c>
      <c r="B81" s="51"/>
      <c r="C81" s="51" t="s">
        <v>1472</v>
      </c>
      <c r="D81" s="52" t="s">
        <v>1473</v>
      </c>
      <c r="E81" s="32" t="s">
        <v>1474</v>
      </c>
      <c r="F81" s="32" t="s">
        <v>141</v>
      </c>
      <c r="G81" s="31" t="s">
        <v>142</v>
      </c>
      <c r="H81" s="32">
        <v>8</v>
      </c>
      <c r="I81" s="64"/>
      <c r="J81" s="32"/>
      <c r="K81" s="32"/>
      <c r="L81" s="32"/>
      <c r="M81" s="32" t="s">
        <v>1449</v>
      </c>
      <c r="P81" s="2" t="s">
        <v>22</v>
      </c>
      <c r="Q81" s="3"/>
      <c r="X81" s="70"/>
      <c r="AA81" s="32">
        <f t="shared" si="4"/>
        <v>22</v>
      </c>
      <c r="AB81" s="51"/>
      <c r="AC81" s="51" t="s">
        <v>1472</v>
      </c>
      <c r="AD81" s="52" t="s">
        <v>1473</v>
      </c>
      <c r="AE81" s="32" t="s">
        <v>1475</v>
      </c>
      <c r="AF81" s="32" t="s">
        <v>141</v>
      </c>
      <c r="AG81" s="31" t="s">
        <v>142</v>
      </c>
      <c r="AH81" s="32">
        <v>8</v>
      </c>
      <c r="AI81" s="64"/>
      <c r="AJ81" s="32"/>
      <c r="AK81" s="32"/>
      <c r="AL81" s="32"/>
      <c r="AM81" s="32" t="s">
        <v>1450</v>
      </c>
      <c r="AP81" s="2" t="s">
        <v>22</v>
      </c>
      <c r="AQ81" s="3"/>
    </row>
    <row r="82" s="2" customFormat="1" spans="1:43">
      <c r="A82" s="32">
        <f t="shared" si="3"/>
        <v>23</v>
      </c>
      <c r="B82" s="51"/>
      <c r="C82" s="51" t="s">
        <v>1476</v>
      </c>
      <c r="D82" s="52" t="s">
        <v>1477</v>
      </c>
      <c r="E82" s="32" t="s">
        <v>1478</v>
      </c>
      <c r="F82" s="32" t="s">
        <v>141</v>
      </c>
      <c r="G82" s="31" t="s">
        <v>142</v>
      </c>
      <c r="H82" s="32">
        <v>8</v>
      </c>
      <c r="I82" s="64"/>
      <c r="J82" s="32"/>
      <c r="K82" s="32"/>
      <c r="L82" s="32"/>
      <c r="M82" s="32" t="s">
        <v>1449</v>
      </c>
      <c r="P82" s="2" t="s">
        <v>22</v>
      </c>
      <c r="Q82" s="3"/>
      <c r="X82" s="70"/>
      <c r="AA82" s="32">
        <f t="shared" si="4"/>
        <v>23</v>
      </c>
      <c r="AB82" s="51"/>
      <c r="AC82" s="51" t="s">
        <v>1476</v>
      </c>
      <c r="AD82" s="52" t="s">
        <v>1477</v>
      </c>
      <c r="AE82" s="32" t="s">
        <v>1479</v>
      </c>
      <c r="AF82" s="32" t="s">
        <v>141</v>
      </c>
      <c r="AG82" s="31" t="s">
        <v>142</v>
      </c>
      <c r="AH82" s="32">
        <v>8</v>
      </c>
      <c r="AI82" s="64"/>
      <c r="AJ82" s="32"/>
      <c r="AK82" s="32"/>
      <c r="AL82" s="32"/>
      <c r="AM82" s="32" t="s">
        <v>1450</v>
      </c>
      <c r="AP82" s="2" t="s">
        <v>22</v>
      </c>
      <c r="AQ82" s="3"/>
    </row>
    <row r="83" s="2" customFormat="1" ht="67.5" spans="1:43">
      <c r="A83" s="32">
        <f t="shared" si="3"/>
        <v>24</v>
      </c>
      <c r="B83" s="51"/>
      <c r="C83" s="51" t="s">
        <v>1480</v>
      </c>
      <c r="D83" s="52" t="s">
        <v>1481</v>
      </c>
      <c r="E83" s="32" t="s">
        <v>1482</v>
      </c>
      <c r="F83" s="32" t="s">
        <v>153</v>
      </c>
      <c r="G83" s="31" t="s">
        <v>254</v>
      </c>
      <c r="H83" s="32" t="s">
        <v>8</v>
      </c>
      <c r="I83" s="64"/>
      <c r="J83" s="32"/>
      <c r="K83" s="32"/>
      <c r="L83" s="32"/>
      <c r="M83" s="32" t="s">
        <v>1449</v>
      </c>
      <c r="P83" s="2" t="s">
        <v>22</v>
      </c>
      <c r="Q83" s="3" t="s">
        <v>1344</v>
      </c>
      <c r="X83" s="70"/>
      <c r="AA83" s="32">
        <f t="shared" si="4"/>
        <v>24</v>
      </c>
      <c r="AB83" s="51"/>
      <c r="AC83" s="51" t="s">
        <v>1480</v>
      </c>
      <c r="AD83" s="52" t="s">
        <v>1481</v>
      </c>
      <c r="AE83" s="32" t="s">
        <v>1483</v>
      </c>
      <c r="AF83" s="32" t="s">
        <v>153</v>
      </c>
      <c r="AG83" s="31" t="s">
        <v>254</v>
      </c>
      <c r="AH83" s="32" t="s">
        <v>8</v>
      </c>
      <c r="AI83" s="64"/>
      <c r="AJ83" s="32"/>
      <c r="AK83" s="32"/>
      <c r="AL83" s="32"/>
      <c r="AM83" s="32" t="s">
        <v>1450</v>
      </c>
      <c r="AP83" s="2" t="s">
        <v>22</v>
      </c>
      <c r="AQ83" s="3" t="s">
        <v>1346</v>
      </c>
    </row>
    <row r="84" s="2" customFormat="1" spans="1:43">
      <c r="A84" s="32">
        <f t="shared" si="3"/>
        <v>25</v>
      </c>
      <c r="B84" s="51"/>
      <c r="C84" s="51" t="s">
        <v>1484</v>
      </c>
      <c r="D84" s="52" t="s">
        <v>1485</v>
      </c>
      <c r="E84" s="32" t="s">
        <v>1486</v>
      </c>
      <c r="F84" s="32" t="s">
        <v>141</v>
      </c>
      <c r="G84" s="31" t="s">
        <v>142</v>
      </c>
      <c r="H84" s="32">
        <v>8</v>
      </c>
      <c r="I84" s="64"/>
      <c r="J84" s="32"/>
      <c r="K84" s="32"/>
      <c r="L84" s="32"/>
      <c r="M84" s="32" t="s">
        <v>1449</v>
      </c>
      <c r="P84" s="2" t="s">
        <v>22</v>
      </c>
      <c r="Q84" s="3"/>
      <c r="X84" s="70"/>
      <c r="AA84" s="32">
        <f t="shared" si="4"/>
        <v>25</v>
      </c>
      <c r="AB84" s="51"/>
      <c r="AC84" s="51" t="s">
        <v>1484</v>
      </c>
      <c r="AD84" s="52" t="s">
        <v>1485</v>
      </c>
      <c r="AE84" s="32" t="s">
        <v>1487</v>
      </c>
      <c r="AF84" s="32" t="s">
        <v>141</v>
      </c>
      <c r="AG84" s="31" t="s">
        <v>142</v>
      </c>
      <c r="AH84" s="32">
        <v>8</v>
      </c>
      <c r="AI84" s="64"/>
      <c r="AJ84" s="32"/>
      <c r="AK84" s="32"/>
      <c r="AL84" s="32"/>
      <c r="AM84" s="32" t="s">
        <v>1450</v>
      </c>
      <c r="AP84" s="2" t="s">
        <v>22</v>
      </c>
      <c r="AQ84" s="3"/>
    </row>
    <row r="85" s="2" customFormat="1" spans="1:43">
      <c r="A85" s="32">
        <f t="shared" si="3"/>
        <v>26</v>
      </c>
      <c r="B85" s="51"/>
      <c r="C85" s="51" t="s">
        <v>1488</v>
      </c>
      <c r="D85" s="52" t="s">
        <v>1489</v>
      </c>
      <c r="E85" s="32" t="s">
        <v>1490</v>
      </c>
      <c r="F85" s="32" t="s">
        <v>141</v>
      </c>
      <c r="G85" s="31" t="s">
        <v>142</v>
      </c>
      <c r="H85" s="32">
        <v>8</v>
      </c>
      <c r="I85" s="64"/>
      <c r="J85" s="32"/>
      <c r="K85" s="32"/>
      <c r="L85" s="32"/>
      <c r="M85" s="32" t="s">
        <v>1449</v>
      </c>
      <c r="P85" s="2" t="s">
        <v>22</v>
      </c>
      <c r="Q85" s="3"/>
      <c r="X85" s="70"/>
      <c r="AA85" s="32">
        <f t="shared" si="4"/>
        <v>26</v>
      </c>
      <c r="AB85" s="51"/>
      <c r="AC85" s="51" t="s">
        <v>1488</v>
      </c>
      <c r="AD85" s="52" t="s">
        <v>1489</v>
      </c>
      <c r="AE85" s="32" t="s">
        <v>1491</v>
      </c>
      <c r="AF85" s="32" t="s">
        <v>141</v>
      </c>
      <c r="AG85" s="31" t="s">
        <v>142</v>
      </c>
      <c r="AH85" s="32">
        <v>8</v>
      </c>
      <c r="AI85" s="64"/>
      <c r="AJ85" s="32"/>
      <c r="AK85" s="32"/>
      <c r="AL85" s="32"/>
      <c r="AM85" s="32" t="s">
        <v>1450</v>
      </c>
      <c r="AP85" s="2" t="s">
        <v>22</v>
      </c>
      <c r="AQ85" s="3"/>
    </row>
    <row r="86" s="2" customFormat="1" ht="22.5" spans="1:43">
      <c r="A86" s="32">
        <f t="shared" si="3"/>
        <v>27</v>
      </c>
      <c r="B86" s="51"/>
      <c r="C86" s="51" t="s">
        <v>1492</v>
      </c>
      <c r="D86" s="52" t="s">
        <v>1493</v>
      </c>
      <c r="E86" s="32" t="s">
        <v>1494</v>
      </c>
      <c r="F86" s="32" t="s">
        <v>141</v>
      </c>
      <c r="G86" s="31" t="s">
        <v>142</v>
      </c>
      <c r="H86" s="32">
        <v>20</v>
      </c>
      <c r="I86" s="64"/>
      <c r="J86" s="32"/>
      <c r="K86" s="32"/>
      <c r="L86" s="32"/>
      <c r="M86" s="32" t="s">
        <v>1466</v>
      </c>
      <c r="Q86" s="3"/>
      <c r="X86" s="70"/>
      <c r="AA86" s="32">
        <f t="shared" si="4"/>
        <v>27</v>
      </c>
      <c r="AB86" s="51"/>
      <c r="AC86" s="51" t="s">
        <v>1492</v>
      </c>
      <c r="AD86" s="52" t="s">
        <v>1493</v>
      </c>
      <c r="AE86" s="32" t="s">
        <v>1495</v>
      </c>
      <c r="AF86" s="32" t="s">
        <v>141</v>
      </c>
      <c r="AG86" s="31" t="s">
        <v>142</v>
      </c>
      <c r="AH86" s="32">
        <v>20</v>
      </c>
      <c r="AI86" s="64"/>
      <c r="AJ86" s="32"/>
      <c r="AK86" s="32"/>
      <c r="AL86" s="32"/>
      <c r="AM86" s="32" t="s">
        <v>1467</v>
      </c>
      <c r="AQ86" s="3"/>
    </row>
    <row r="87" s="2" customFormat="1" ht="67.5" spans="1:43">
      <c r="A87" s="32">
        <f t="shared" si="3"/>
        <v>28</v>
      </c>
      <c r="B87" s="51"/>
      <c r="C87" s="51" t="s">
        <v>1496</v>
      </c>
      <c r="D87" s="52" t="s">
        <v>1497</v>
      </c>
      <c r="E87" s="32" t="s">
        <v>1498</v>
      </c>
      <c r="F87" s="32" t="s">
        <v>153</v>
      </c>
      <c r="G87" s="31" t="s">
        <v>254</v>
      </c>
      <c r="H87" s="32" t="s">
        <v>8</v>
      </c>
      <c r="I87" s="64"/>
      <c r="J87" s="32"/>
      <c r="K87" s="32"/>
      <c r="L87" s="32"/>
      <c r="M87" s="32" t="s">
        <v>1466</v>
      </c>
      <c r="Q87" s="3"/>
      <c r="X87" s="70"/>
      <c r="AA87" s="32">
        <f t="shared" si="4"/>
        <v>28</v>
      </c>
      <c r="AB87" s="51"/>
      <c r="AC87" s="51" t="s">
        <v>1496</v>
      </c>
      <c r="AD87" s="52" t="s">
        <v>1497</v>
      </c>
      <c r="AE87" s="32" t="s">
        <v>1499</v>
      </c>
      <c r="AF87" s="32" t="s">
        <v>153</v>
      </c>
      <c r="AG87" s="31" t="s">
        <v>254</v>
      </c>
      <c r="AH87" s="32" t="s">
        <v>8</v>
      </c>
      <c r="AI87" s="64"/>
      <c r="AJ87" s="32"/>
      <c r="AK87" s="32"/>
      <c r="AL87" s="32"/>
      <c r="AM87" s="32" t="s">
        <v>1467</v>
      </c>
      <c r="AQ87" s="3"/>
    </row>
    <row r="88" s="2" customFormat="1" ht="33.75" spans="1:43">
      <c r="A88" s="32">
        <f t="shared" si="3"/>
        <v>29</v>
      </c>
      <c r="B88" s="51"/>
      <c r="C88" s="51" t="s">
        <v>1500</v>
      </c>
      <c r="D88" s="52" t="s">
        <v>1501</v>
      </c>
      <c r="E88" s="32" t="s">
        <v>1502</v>
      </c>
      <c r="F88" s="32" t="s">
        <v>153</v>
      </c>
      <c r="G88" s="31" t="s">
        <v>254</v>
      </c>
      <c r="H88" s="32" t="s">
        <v>8</v>
      </c>
      <c r="I88" s="64"/>
      <c r="J88" s="32"/>
      <c r="K88" s="32"/>
      <c r="L88" s="32"/>
      <c r="M88" s="32" t="s">
        <v>1466</v>
      </c>
      <c r="Q88" s="3"/>
      <c r="X88" s="70"/>
      <c r="AA88" s="32">
        <f t="shared" si="4"/>
        <v>29</v>
      </c>
      <c r="AB88" s="51"/>
      <c r="AC88" s="51" t="s">
        <v>1500</v>
      </c>
      <c r="AD88" s="52" t="s">
        <v>1501</v>
      </c>
      <c r="AE88" s="32" t="s">
        <v>1503</v>
      </c>
      <c r="AF88" s="32" t="s">
        <v>153</v>
      </c>
      <c r="AG88" s="31" t="s">
        <v>254</v>
      </c>
      <c r="AH88" s="32" t="s">
        <v>8</v>
      </c>
      <c r="AI88" s="64"/>
      <c r="AJ88" s="32"/>
      <c r="AK88" s="32"/>
      <c r="AL88" s="32"/>
      <c r="AM88" s="32" t="s">
        <v>1504</v>
      </c>
      <c r="AQ88" s="3"/>
    </row>
    <row r="89" s="2" customFormat="1" ht="22.5" spans="1:43">
      <c r="A89" s="32">
        <f t="shared" si="3"/>
        <v>30</v>
      </c>
      <c r="B89" s="51"/>
      <c r="C89" s="51" t="s">
        <v>1505</v>
      </c>
      <c r="D89" s="52" t="s">
        <v>1506</v>
      </c>
      <c r="E89" s="32" t="s">
        <v>1507</v>
      </c>
      <c r="F89" s="32" t="s">
        <v>141</v>
      </c>
      <c r="G89" s="31" t="s">
        <v>142</v>
      </c>
      <c r="H89" s="32">
        <v>8</v>
      </c>
      <c r="I89" s="64"/>
      <c r="J89" s="32"/>
      <c r="K89" s="32"/>
      <c r="L89" s="32"/>
      <c r="M89" s="32" t="s">
        <v>1466</v>
      </c>
      <c r="Q89" s="3"/>
      <c r="X89" s="70"/>
      <c r="AA89" s="32">
        <f t="shared" si="4"/>
        <v>30</v>
      </c>
      <c r="AB89" s="51"/>
      <c r="AC89" s="51" t="s">
        <v>1505</v>
      </c>
      <c r="AD89" s="52" t="s">
        <v>1506</v>
      </c>
      <c r="AE89" s="32" t="s">
        <v>1508</v>
      </c>
      <c r="AF89" s="32" t="s">
        <v>141</v>
      </c>
      <c r="AG89" s="31" t="s">
        <v>142</v>
      </c>
      <c r="AH89" s="32">
        <v>8</v>
      </c>
      <c r="AI89" s="64"/>
      <c r="AJ89" s="32"/>
      <c r="AK89" s="32"/>
      <c r="AL89" s="32"/>
      <c r="AM89" s="32" t="s">
        <v>1504</v>
      </c>
      <c r="AQ89" s="3"/>
    </row>
    <row r="90" s="2" customFormat="1" ht="22.5" spans="1:43">
      <c r="A90" s="32">
        <f t="shared" si="3"/>
        <v>31</v>
      </c>
      <c r="B90" s="51"/>
      <c r="C90" s="51" t="s">
        <v>1509</v>
      </c>
      <c r="D90" s="52" t="s">
        <v>1510</v>
      </c>
      <c r="E90" s="32" t="s">
        <v>1511</v>
      </c>
      <c r="F90" s="32" t="s">
        <v>141</v>
      </c>
      <c r="G90" s="31" t="s">
        <v>142</v>
      </c>
      <c r="H90" s="32">
        <v>8</v>
      </c>
      <c r="I90" s="64"/>
      <c r="J90" s="32"/>
      <c r="K90" s="32"/>
      <c r="L90" s="32"/>
      <c r="M90" s="32" t="s">
        <v>1466</v>
      </c>
      <c r="Q90" s="3"/>
      <c r="X90" s="70"/>
      <c r="AA90" s="32">
        <f t="shared" si="4"/>
        <v>31</v>
      </c>
      <c r="AB90" s="51"/>
      <c r="AC90" s="51" t="s">
        <v>1509</v>
      </c>
      <c r="AD90" s="52" t="s">
        <v>1510</v>
      </c>
      <c r="AE90" s="32" t="s">
        <v>1512</v>
      </c>
      <c r="AF90" s="32" t="s">
        <v>141</v>
      </c>
      <c r="AG90" s="31" t="s">
        <v>142</v>
      </c>
      <c r="AH90" s="32">
        <v>8</v>
      </c>
      <c r="AI90" s="64"/>
      <c r="AJ90" s="32"/>
      <c r="AK90" s="32"/>
      <c r="AL90" s="32"/>
      <c r="AM90" s="32" t="s">
        <v>1504</v>
      </c>
      <c r="AQ90" s="3"/>
    </row>
    <row r="91" s="2" customFormat="1" ht="33.75" spans="1:43">
      <c r="A91" s="32">
        <f t="shared" si="3"/>
        <v>32</v>
      </c>
      <c r="B91" s="51"/>
      <c r="C91" s="51" t="s">
        <v>1513</v>
      </c>
      <c r="D91" s="52" t="s">
        <v>1514</v>
      </c>
      <c r="E91" s="32" t="s">
        <v>1515</v>
      </c>
      <c r="F91" s="32" t="s">
        <v>153</v>
      </c>
      <c r="G91" s="31" t="s">
        <v>254</v>
      </c>
      <c r="H91" s="32" t="s">
        <v>8</v>
      </c>
      <c r="I91" s="64"/>
      <c r="J91" s="32"/>
      <c r="K91" s="32"/>
      <c r="L91" s="32"/>
      <c r="M91" s="32" t="s">
        <v>1466</v>
      </c>
      <c r="Q91" s="3"/>
      <c r="X91" s="70"/>
      <c r="AA91" s="32">
        <f t="shared" si="4"/>
        <v>32</v>
      </c>
      <c r="AB91" s="51"/>
      <c r="AC91" s="51" t="s">
        <v>1513</v>
      </c>
      <c r="AD91" s="52" t="s">
        <v>1514</v>
      </c>
      <c r="AE91" s="32" t="s">
        <v>1516</v>
      </c>
      <c r="AF91" s="32" t="s">
        <v>153</v>
      </c>
      <c r="AG91" s="31" t="s">
        <v>254</v>
      </c>
      <c r="AH91" s="32" t="s">
        <v>8</v>
      </c>
      <c r="AI91" s="64"/>
      <c r="AJ91" s="32"/>
      <c r="AK91" s="32"/>
      <c r="AL91" s="32"/>
      <c r="AM91" s="32" t="s">
        <v>1504</v>
      </c>
      <c r="AQ91" s="3"/>
    </row>
    <row r="92" s="2" customFormat="1" ht="78.75" spans="1:43">
      <c r="A92" s="32">
        <f t="shared" si="3"/>
        <v>33</v>
      </c>
      <c r="B92" s="51"/>
      <c r="C92" s="51" t="s">
        <v>1517</v>
      </c>
      <c r="D92" s="52" t="s">
        <v>1518</v>
      </c>
      <c r="E92" s="32" t="s">
        <v>1519</v>
      </c>
      <c r="F92" s="32" t="s">
        <v>153</v>
      </c>
      <c r="G92" s="31" t="s">
        <v>254</v>
      </c>
      <c r="H92" s="32" t="s">
        <v>8</v>
      </c>
      <c r="I92" s="64"/>
      <c r="J92" s="32"/>
      <c r="K92" s="32"/>
      <c r="L92" s="32"/>
      <c r="M92" s="32" t="s">
        <v>1449</v>
      </c>
      <c r="P92" s="2" t="s">
        <v>22</v>
      </c>
      <c r="Q92" s="3" t="s">
        <v>1344</v>
      </c>
      <c r="X92" s="70"/>
      <c r="AA92" s="32">
        <f t="shared" si="4"/>
        <v>33</v>
      </c>
      <c r="AB92" s="51"/>
      <c r="AC92" s="51" t="s">
        <v>1517</v>
      </c>
      <c r="AD92" s="52" t="s">
        <v>1518</v>
      </c>
      <c r="AE92" s="32" t="s">
        <v>1520</v>
      </c>
      <c r="AF92" s="32" t="s">
        <v>153</v>
      </c>
      <c r="AG92" s="31" t="s">
        <v>254</v>
      </c>
      <c r="AH92" s="32" t="s">
        <v>8</v>
      </c>
      <c r="AI92" s="64"/>
      <c r="AJ92" s="32"/>
      <c r="AK92" s="32"/>
      <c r="AL92" s="32"/>
      <c r="AM92" s="32" t="s">
        <v>1450</v>
      </c>
      <c r="AP92" s="2" t="s">
        <v>22</v>
      </c>
      <c r="AQ92" s="3" t="s">
        <v>1346</v>
      </c>
    </row>
    <row r="93" s="2" customFormat="1" ht="22.5" spans="1:43">
      <c r="A93" s="32">
        <f t="shared" si="3"/>
        <v>34</v>
      </c>
      <c r="B93" s="51"/>
      <c r="C93" s="51" t="s">
        <v>1521</v>
      </c>
      <c r="D93" s="52" t="s">
        <v>1522</v>
      </c>
      <c r="E93" s="32" t="s">
        <v>1523</v>
      </c>
      <c r="F93" s="32" t="s">
        <v>141</v>
      </c>
      <c r="G93" s="31" t="s">
        <v>142</v>
      </c>
      <c r="H93" s="32">
        <v>8</v>
      </c>
      <c r="I93" s="64"/>
      <c r="J93" s="32"/>
      <c r="K93" s="32"/>
      <c r="L93" s="32"/>
      <c r="M93" s="32" t="s">
        <v>1449</v>
      </c>
      <c r="P93" s="2" t="s">
        <v>22</v>
      </c>
      <c r="Q93" s="3"/>
      <c r="X93" s="70"/>
      <c r="AA93" s="32">
        <f t="shared" si="4"/>
        <v>34</v>
      </c>
      <c r="AB93" s="51"/>
      <c r="AC93" s="51" t="s">
        <v>1521</v>
      </c>
      <c r="AD93" s="52" t="s">
        <v>1522</v>
      </c>
      <c r="AE93" s="32" t="s">
        <v>1524</v>
      </c>
      <c r="AF93" s="32" t="s">
        <v>141</v>
      </c>
      <c r="AG93" s="31" t="s">
        <v>142</v>
      </c>
      <c r="AH93" s="32">
        <v>8</v>
      </c>
      <c r="AI93" s="64"/>
      <c r="AJ93" s="32"/>
      <c r="AK93" s="32"/>
      <c r="AL93" s="32"/>
      <c r="AM93" s="32" t="s">
        <v>1450</v>
      </c>
      <c r="AP93" s="2" t="s">
        <v>22</v>
      </c>
      <c r="AQ93" s="3"/>
    </row>
    <row r="94" s="2" customFormat="1" ht="22.5" spans="1:43">
      <c r="A94" s="32">
        <f t="shared" si="3"/>
        <v>35</v>
      </c>
      <c r="B94" s="51"/>
      <c r="C94" s="51" t="s">
        <v>1525</v>
      </c>
      <c r="D94" s="52" t="s">
        <v>1526</v>
      </c>
      <c r="E94" s="32" t="s">
        <v>1527</v>
      </c>
      <c r="F94" s="32" t="s">
        <v>141</v>
      </c>
      <c r="G94" s="31" t="s">
        <v>142</v>
      </c>
      <c r="H94" s="32">
        <v>8</v>
      </c>
      <c r="I94" s="64"/>
      <c r="J94" s="32"/>
      <c r="K94" s="32"/>
      <c r="L94" s="32"/>
      <c r="M94" s="32" t="s">
        <v>1449</v>
      </c>
      <c r="P94" s="2" t="s">
        <v>22</v>
      </c>
      <c r="Q94" s="3"/>
      <c r="X94" s="70"/>
      <c r="AA94" s="32">
        <f t="shared" si="4"/>
        <v>35</v>
      </c>
      <c r="AB94" s="51"/>
      <c r="AC94" s="51" t="s">
        <v>1525</v>
      </c>
      <c r="AD94" s="52" t="s">
        <v>1526</v>
      </c>
      <c r="AE94" s="32" t="s">
        <v>1528</v>
      </c>
      <c r="AF94" s="32" t="s">
        <v>141</v>
      </c>
      <c r="AG94" s="31" t="s">
        <v>142</v>
      </c>
      <c r="AH94" s="32">
        <v>8</v>
      </c>
      <c r="AI94" s="64"/>
      <c r="AJ94" s="32"/>
      <c r="AK94" s="32"/>
      <c r="AL94" s="32"/>
      <c r="AM94" s="32" t="s">
        <v>1450</v>
      </c>
      <c r="AP94" s="2" t="s">
        <v>22</v>
      </c>
      <c r="AQ94" s="3"/>
    </row>
    <row r="95" s="2" customFormat="1" ht="78.75" spans="1:43">
      <c r="A95" s="32">
        <f t="shared" si="3"/>
        <v>36</v>
      </c>
      <c r="B95" s="51"/>
      <c r="C95" s="51" t="s">
        <v>581</v>
      </c>
      <c r="D95" s="52" t="s">
        <v>1529</v>
      </c>
      <c r="E95" s="32" t="s">
        <v>1530</v>
      </c>
      <c r="F95" s="32" t="s">
        <v>153</v>
      </c>
      <c r="G95" s="31" t="s">
        <v>254</v>
      </c>
      <c r="H95" s="32" t="s">
        <v>8</v>
      </c>
      <c r="I95" s="64"/>
      <c r="J95" s="32"/>
      <c r="K95" s="32"/>
      <c r="L95" s="32"/>
      <c r="M95" s="32" t="s">
        <v>1449</v>
      </c>
      <c r="N95" s="2" t="s">
        <v>22</v>
      </c>
      <c r="O95" s="2" t="s">
        <v>22</v>
      </c>
      <c r="P95" s="2" t="s">
        <v>22</v>
      </c>
      <c r="Q95" s="3" t="s">
        <v>1344</v>
      </c>
      <c r="X95" s="70"/>
      <c r="AA95" s="32">
        <f t="shared" si="4"/>
        <v>36</v>
      </c>
      <c r="AB95" s="51"/>
      <c r="AC95" s="51" t="s">
        <v>581</v>
      </c>
      <c r="AD95" s="52" t="s">
        <v>1529</v>
      </c>
      <c r="AE95" s="32" t="s">
        <v>1531</v>
      </c>
      <c r="AF95" s="32" t="s">
        <v>153</v>
      </c>
      <c r="AG95" s="31" t="s">
        <v>254</v>
      </c>
      <c r="AH95" s="32" t="s">
        <v>8</v>
      </c>
      <c r="AI95" s="64"/>
      <c r="AJ95" s="32"/>
      <c r="AK95" s="32"/>
      <c r="AL95" s="32"/>
      <c r="AM95" s="32" t="s">
        <v>1450</v>
      </c>
      <c r="AN95" s="2" t="s">
        <v>22</v>
      </c>
      <c r="AO95" s="2" t="s">
        <v>22</v>
      </c>
      <c r="AP95" s="2" t="s">
        <v>22</v>
      </c>
      <c r="AQ95" s="3" t="s">
        <v>1346</v>
      </c>
    </row>
    <row r="96" s="2" customFormat="1" ht="56.25" spans="1:43">
      <c r="A96" s="32">
        <f t="shared" si="3"/>
        <v>37</v>
      </c>
      <c r="B96" s="51"/>
      <c r="C96" s="51" t="s">
        <v>1532</v>
      </c>
      <c r="D96" s="52" t="s">
        <v>1533</v>
      </c>
      <c r="E96" s="32" t="s">
        <v>1534</v>
      </c>
      <c r="F96" s="32" t="s">
        <v>153</v>
      </c>
      <c r="G96" s="31" t="s">
        <v>254</v>
      </c>
      <c r="H96" s="32" t="s">
        <v>8</v>
      </c>
      <c r="I96" s="64"/>
      <c r="J96" s="32"/>
      <c r="K96" s="32"/>
      <c r="L96" s="32"/>
      <c r="M96" s="32" t="s">
        <v>1466</v>
      </c>
      <c r="Q96" s="3"/>
      <c r="X96" s="70"/>
      <c r="AA96" s="32">
        <f t="shared" si="4"/>
        <v>37</v>
      </c>
      <c r="AB96" s="51"/>
      <c r="AC96" s="51" t="s">
        <v>1532</v>
      </c>
      <c r="AD96" s="52" t="s">
        <v>1533</v>
      </c>
      <c r="AE96" s="32" t="s">
        <v>1535</v>
      </c>
      <c r="AF96" s="32" t="s">
        <v>153</v>
      </c>
      <c r="AG96" s="31" t="s">
        <v>254</v>
      </c>
      <c r="AH96" s="32" t="s">
        <v>8</v>
      </c>
      <c r="AI96" s="64"/>
      <c r="AJ96" s="32"/>
      <c r="AK96" s="32"/>
      <c r="AL96" s="32"/>
      <c r="AM96" s="32" t="s">
        <v>1504</v>
      </c>
      <c r="AQ96" s="3"/>
    </row>
    <row r="97" s="2" customFormat="1" ht="67.5" spans="1:43">
      <c r="A97" s="32">
        <f t="shared" si="3"/>
        <v>38</v>
      </c>
      <c r="B97" s="51"/>
      <c r="C97" s="51" t="s">
        <v>596</v>
      </c>
      <c r="D97" s="52" t="s">
        <v>1536</v>
      </c>
      <c r="E97" s="32" t="s">
        <v>1537</v>
      </c>
      <c r="F97" s="32" t="s">
        <v>153</v>
      </c>
      <c r="G97" s="31" t="s">
        <v>254</v>
      </c>
      <c r="H97" s="32" t="s">
        <v>8</v>
      </c>
      <c r="I97" s="64"/>
      <c r="J97" s="32"/>
      <c r="K97" s="32"/>
      <c r="L97" s="32"/>
      <c r="M97" s="32" t="s">
        <v>1449</v>
      </c>
      <c r="O97" s="2" t="s">
        <v>22</v>
      </c>
      <c r="P97" s="2" t="s">
        <v>22</v>
      </c>
      <c r="Q97" s="3" t="s">
        <v>1344</v>
      </c>
      <c r="X97" s="70"/>
      <c r="AA97" s="32">
        <f t="shared" si="4"/>
        <v>38</v>
      </c>
      <c r="AB97" s="51"/>
      <c r="AC97" s="51" t="s">
        <v>596</v>
      </c>
      <c r="AD97" s="52" t="s">
        <v>1536</v>
      </c>
      <c r="AE97" s="32" t="s">
        <v>1538</v>
      </c>
      <c r="AF97" s="32" t="s">
        <v>153</v>
      </c>
      <c r="AG97" s="31" t="s">
        <v>254</v>
      </c>
      <c r="AH97" s="32" t="s">
        <v>8</v>
      </c>
      <c r="AI97" s="64"/>
      <c r="AJ97" s="32"/>
      <c r="AK97" s="32"/>
      <c r="AL97" s="32"/>
      <c r="AM97" s="32" t="s">
        <v>1450</v>
      </c>
      <c r="AO97" s="2" t="s">
        <v>22</v>
      </c>
      <c r="AP97" s="2" t="s">
        <v>22</v>
      </c>
      <c r="AQ97" s="3" t="s">
        <v>1346</v>
      </c>
    </row>
    <row r="98" s="2" customFormat="1" ht="78.75" spans="1:43">
      <c r="A98" s="32">
        <f t="shared" si="3"/>
        <v>39</v>
      </c>
      <c r="B98" s="51"/>
      <c r="C98" s="51" t="s">
        <v>585</v>
      </c>
      <c r="D98" s="52" t="s">
        <v>1539</v>
      </c>
      <c r="E98" s="32" t="s">
        <v>1540</v>
      </c>
      <c r="F98" s="32" t="s">
        <v>153</v>
      </c>
      <c r="G98" s="31" t="s">
        <v>254</v>
      </c>
      <c r="H98" s="32" t="s">
        <v>8</v>
      </c>
      <c r="I98" s="64"/>
      <c r="J98" s="32"/>
      <c r="K98" s="32"/>
      <c r="L98" s="32"/>
      <c r="M98" s="32" t="s">
        <v>1449</v>
      </c>
      <c r="N98" s="2" t="s">
        <v>22</v>
      </c>
      <c r="O98" s="2" t="s">
        <v>22</v>
      </c>
      <c r="P98" s="2" t="s">
        <v>22</v>
      </c>
      <c r="Q98" s="3" t="s">
        <v>1344</v>
      </c>
      <c r="X98" s="70"/>
      <c r="AA98" s="32">
        <f t="shared" si="4"/>
        <v>39</v>
      </c>
      <c r="AB98" s="51"/>
      <c r="AC98" s="51" t="s">
        <v>585</v>
      </c>
      <c r="AD98" s="52" t="s">
        <v>1539</v>
      </c>
      <c r="AE98" s="32" t="s">
        <v>1541</v>
      </c>
      <c r="AF98" s="32" t="s">
        <v>153</v>
      </c>
      <c r="AG98" s="31" t="s">
        <v>254</v>
      </c>
      <c r="AH98" s="32" t="s">
        <v>8</v>
      </c>
      <c r="AI98" s="64"/>
      <c r="AJ98" s="32"/>
      <c r="AK98" s="32"/>
      <c r="AL98" s="32"/>
      <c r="AM98" s="32" t="s">
        <v>1450</v>
      </c>
      <c r="AN98" s="2" t="s">
        <v>22</v>
      </c>
      <c r="AO98" s="2" t="s">
        <v>22</v>
      </c>
      <c r="AP98" s="2" t="s">
        <v>22</v>
      </c>
      <c r="AQ98" s="3" t="s">
        <v>1346</v>
      </c>
    </row>
    <row r="99" s="2" customFormat="1" ht="67.5" spans="1:43">
      <c r="A99" s="32">
        <f t="shared" si="3"/>
        <v>40</v>
      </c>
      <c r="B99" s="51"/>
      <c r="C99" s="51" t="s">
        <v>1542</v>
      </c>
      <c r="D99" s="52" t="s">
        <v>1543</v>
      </c>
      <c r="E99" s="32" t="s">
        <v>1544</v>
      </c>
      <c r="F99" s="32" t="s">
        <v>153</v>
      </c>
      <c r="G99" s="31" t="s">
        <v>254</v>
      </c>
      <c r="H99" s="32" t="s">
        <v>8</v>
      </c>
      <c r="I99" s="64"/>
      <c r="J99" s="32"/>
      <c r="K99" s="32"/>
      <c r="L99" s="32"/>
      <c r="M99" s="32" t="s">
        <v>1545</v>
      </c>
      <c r="P99" s="2" t="s">
        <v>22</v>
      </c>
      <c r="Q99" s="3" t="s">
        <v>1344</v>
      </c>
      <c r="X99" s="70"/>
      <c r="AA99" s="32">
        <f t="shared" si="4"/>
        <v>40</v>
      </c>
      <c r="AB99" s="51"/>
      <c r="AC99" s="51" t="s">
        <v>1542</v>
      </c>
      <c r="AD99" s="52" t="s">
        <v>1543</v>
      </c>
      <c r="AE99" s="32" t="s">
        <v>1546</v>
      </c>
      <c r="AF99" s="32" t="s">
        <v>153</v>
      </c>
      <c r="AG99" s="31" t="s">
        <v>254</v>
      </c>
      <c r="AH99" s="32" t="s">
        <v>8</v>
      </c>
      <c r="AI99" s="64"/>
      <c r="AJ99" s="32"/>
      <c r="AK99" s="32"/>
      <c r="AL99" s="32"/>
      <c r="AM99" s="32" t="s">
        <v>1545</v>
      </c>
      <c r="AP99" s="2" t="s">
        <v>22</v>
      </c>
      <c r="AQ99" s="3" t="s">
        <v>1346</v>
      </c>
    </row>
    <row r="100" s="2" customFormat="1" ht="78.75" spans="1:43">
      <c r="A100" s="32">
        <f t="shared" si="3"/>
        <v>41</v>
      </c>
      <c r="B100" s="51"/>
      <c r="C100" s="51" t="s">
        <v>1547</v>
      </c>
      <c r="D100" s="52" t="s">
        <v>1548</v>
      </c>
      <c r="E100" s="32" t="s">
        <v>1549</v>
      </c>
      <c r="F100" s="32" t="s">
        <v>141</v>
      </c>
      <c r="G100" s="31" t="s">
        <v>142</v>
      </c>
      <c r="H100" s="32">
        <v>120</v>
      </c>
      <c r="I100" s="64"/>
      <c r="J100" s="32"/>
      <c r="K100" s="32"/>
      <c r="L100" s="32"/>
      <c r="M100" s="32" t="s">
        <v>1550</v>
      </c>
      <c r="N100" s="2" t="s">
        <v>1551</v>
      </c>
      <c r="O100" s="2" t="s">
        <v>22</v>
      </c>
      <c r="P100" s="2" t="s">
        <v>22</v>
      </c>
      <c r="Q100" s="3" t="s">
        <v>1552</v>
      </c>
      <c r="X100" s="70"/>
      <c r="AA100" s="32">
        <f t="shared" si="4"/>
        <v>41</v>
      </c>
      <c r="AB100" s="51"/>
      <c r="AC100" s="51" t="s">
        <v>1547</v>
      </c>
      <c r="AD100" s="52" t="s">
        <v>1548</v>
      </c>
      <c r="AE100" s="32" t="s">
        <v>1553</v>
      </c>
      <c r="AF100" s="32" t="s">
        <v>141</v>
      </c>
      <c r="AG100" s="31" t="s">
        <v>142</v>
      </c>
      <c r="AH100" s="32">
        <v>120</v>
      </c>
      <c r="AI100" s="64"/>
      <c r="AJ100" s="32"/>
      <c r="AK100" s="32"/>
      <c r="AL100" s="32"/>
      <c r="AM100" s="32" t="s">
        <v>1554</v>
      </c>
      <c r="AN100" s="2" t="s">
        <v>1555</v>
      </c>
      <c r="AO100" s="2" t="s">
        <v>22</v>
      </c>
      <c r="AP100" s="2" t="s">
        <v>22</v>
      </c>
      <c r="AQ100" s="3" t="s">
        <v>1556</v>
      </c>
    </row>
    <row r="101" s="2" customFormat="1" spans="1:43">
      <c r="A101" s="32">
        <f t="shared" si="3"/>
        <v>42</v>
      </c>
      <c r="B101" s="51"/>
      <c r="C101" s="51" t="s">
        <v>478</v>
      </c>
      <c r="D101" s="52" t="s">
        <v>479</v>
      </c>
      <c r="E101" s="32"/>
      <c r="F101" s="32" t="s">
        <v>141</v>
      </c>
      <c r="G101" s="31" t="s">
        <v>142</v>
      </c>
      <c r="H101" s="32">
        <v>10</v>
      </c>
      <c r="I101" s="64"/>
      <c r="J101" s="32"/>
      <c r="K101" s="32"/>
      <c r="L101" s="32"/>
      <c r="M101" s="32" t="s">
        <v>1545</v>
      </c>
      <c r="P101" s="2" t="s">
        <v>22</v>
      </c>
      <c r="Q101" s="3"/>
      <c r="X101" s="70"/>
      <c r="AA101" s="32">
        <f t="shared" si="4"/>
        <v>42</v>
      </c>
      <c r="AB101" s="51"/>
      <c r="AC101" s="51" t="s">
        <v>478</v>
      </c>
      <c r="AD101" s="52" t="s">
        <v>479</v>
      </c>
      <c r="AE101" s="32"/>
      <c r="AF101" s="32" t="s">
        <v>141</v>
      </c>
      <c r="AG101" s="31" t="s">
        <v>142</v>
      </c>
      <c r="AH101" s="32">
        <v>10</v>
      </c>
      <c r="AI101" s="64"/>
      <c r="AJ101" s="32"/>
      <c r="AK101" s="32"/>
      <c r="AL101" s="32"/>
      <c r="AM101" s="32" t="s">
        <v>1557</v>
      </c>
      <c r="AP101" s="2" t="s">
        <v>22</v>
      </c>
      <c r="AQ101" s="3"/>
    </row>
    <row r="102" s="2" customFormat="1" spans="1:43">
      <c r="A102" s="32">
        <f t="shared" si="3"/>
        <v>43</v>
      </c>
      <c r="B102" s="51"/>
      <c r="C102" s="51" t="s">
        <v>482</v>
      </c>
      <c r="D102" s="52" t="s">
        <v>1558</v>
      </c>
      <c r="E102" s="32"/>
      <c r="F102" s="32" t="s">
        <v>141</v>
      </c>
      <c r="G102" s="31" t="s">
        <v>142</v>
      </c>
      <c r="H102" s="32">
        <v>8</v>
      </c>
      <c r="I102" s="64"/>
      <c r="J102" s="32"/>
      <c r="K102" s="32"/>
      <c r="L102" s="32"/>
      <c r="M102" s="32" t="s">
        <v>1545</v>
      </c>
      <c r="P102" s="2" t="s">
        <v>22</v>
      </c>
      <c r="Q102" s="3"/>
      <c r="X102" s="70"/>
      <c r="AA102" s="32">
        <f t="shared" si="4"/>
        <v>43</v>
      </c>
      <c r="AB102" s="51"/>
      <c r="AC102" s="51" t="s">
        <v>482</v>
      </c>
      <c r="AD102" s="52" t="s">
        <v>1558</v>
      </c>
      <c r="AE102" s="32"/>
      <c r="AF102" s="32" t="s">
        <v>141</v>
      </c>
      <c r="AG102" s="31" t="s">
        <v>142</v>
      </c>
      <c r="AH102" s="32">
        <v>8</v>
      </c>
      <c r="AI102" s="64"/>
      <c r="AJ102" s="32"/>
      <c r="AK102" s="32"/>
      <c r="AL102" s="32"/>
      <c r="AM102" s="32" t="s">
        <v>1557</v>
      </c>
      <c r="AP102" s="2" t="s">
        <v>22</v>
      </c>
      <c r="AQ102" s="3"/>
    </row>
    <row r="103" s="2" customFormat="1" spans="1:43">
      <c r="A103" s="32">
        <f t="shared" si="3"/>
        <v>44</v>
      </c>
      <c r="B103" s="51"/>
      <c r="C103" s="51" t="s">
        <v>426</v>
      </c>
      <c r="D103" s="52" t="s">
        <v>1559</v>
      </c>
      <c r="E103" s="32" t="s">
        <v>593</v>
      </c>
      <c r="F103" s="32" t="s">
        <v>141</v>
      </c>
      <c r="G103" s="31" t="s">
        <v>142</v>
      </c>
      <c r="H103" s="32">
        <v>8</v>
      </c>
      <c r="I103" s="64"/>
      <c r="J103" s="32"/>
      <c r="K103" s="32"/>
      <c r="L103" s="32"/>
      <c r="M103" s="32" t="s">
        <v>1560</v>
      </c>
      <c r="P103" s="2" t="s">
        <v>22</v>
      </c>
      <c r="Q103" s="3"/>
      <c r="X103" s="70"/>
      <c r="AA103" s="32">
        <f t="shared" si="4"/>
        <v>44</v>
      </c>
      <c r="AB103" s="51"/>
      <c r="AC103" s="51" t="s">
        <v>426</v>
      </c>
      <c r="AD103" s="52" t="s">
        <v>1559</v>
      </c>
      <c r="AE103" s="32" t="s">
        <v>594</v>
      </c>
      <c r="AF103" s="32" t="s">
        <v>141</v>
      </c>
      <c r="AG103" s="31" t="s">
        <v>142</v>
      </c>
      <c r="AH103" s="32">
        <v>8</v>
      </c>
      <c r="AI103" s="64"/>
      <c r="AJ103" s="32"/>
      <c r="AK103" s="32"/>
      <c r="AL103" s="32"/>
      <c r="AM103" s="32" t="s">
        <v>1561</v>
      </c>
      <c r="AP103" s="2" t="s">
        <v>22</v>
      </c>
      <c r="AQ103" s="3"/>
    </row>
    <row r="104" s="2" customFormat="1" ht="45" spans="1:43">
      <c r="A104" s="32">
        <f t="shared" si="3"/>
        <v>45</v>
      </c>
      <c r="B104" s="51"/>
      <c r="C104" s="51" t="s">
        <v>429</v>
      </c>
      <c r="D104" s="52" t="s">
        <v>1350</v>
      </c>
      <c r="E104" s="32" t="s">
        <v>1562</v>
      </c>
      <c r="F104" s="32" t="s">
        <v>153</v>
      </c>
      <c r="G104" s="31" t="s">
        <v>254</v>
      </c>
      <c r="H104" s="32" t="s">
        <v>8</v>
      </c>
      <c r="I104" s="64"/>
      <c r="J104" s="32"/>
      <c r="K104" s="32"/>
      <c r="L104" s="32"/>
      <c r="M104" s="32" t="s">
        <v>1560</v>
      </c>
      <c r="P104" s="2" t="s">
        <v>22</v>
      </c>
      <c r="Q104" s="3" t="s">
        <v>1344</v>
      </c>
      <c r="X104" s="70"/>
      <c r="AA104" s="32">
        <f t="shared" si="4"/>
        <v>45</v>
      </c>
      <c r="AB104" s="51"/>
      <c r="AC104" s="51" t="s">
        <v>429</v>
      </c>
      <c r="AD104" s="52" t="s">
        <v>1350</v>
      </c>
      <c r="AE104" s="32" t="s">
        <v>1563</v>
      </c>
      <c r="AF104" s="32" t="s">
        <v>153</v>
      </c>
      <c r="AG104" s="31" t="s">
        <v>254</v>
      </c>
      <c r="AH104" s="32" t="s">
        <v>8</v>
      </c>
      <c r="AI104" s="64"/>
      <c r="AJ104" s="32"/>
      <c r="AK104" s="32"/>
      <c r="AL104" s="32"/>
      <c r="AM104" s="32" t="s">
        <v>1561</v>
      </c>
      <c r="AP104" s="2" t="s">
        <v>22</v>
      </c>
      <c r="AQ104" s="3" t="s">
        <v>1346</v>
      </c>
    </row>
    <row r="105" s="2" customFormat="1" spans="1:43">
      <c r="A105" s="32">
        <f t="shared" si="3"/>
        <v>46</v>
      </c>
      <c r="B105" s="51"/>
      <c r="C105" s="51" t="s">
        <v>1358</v>
      </c>
      <c r="D105" s="52" t="s">
        <v>1564</v>
      </c>
      <c r="E105" s="32" t="s">
        <v>593</v>
      </c>
      <c r="F105" s="32" t="s">
        <v>141</v>
      </c>
      <c r="G105" s="31" t="s">
        <v>142</v>
      </c>
      <c r="H105" s="32">
        <v>8</v>
      </c>
      <c r="I105" s="64"/>
      <c r="J105" s="32"/>
      <c r="K105" s="32"/>
      <c r="L105" s="32"/>
      <c r="M105" s="32" t="s">
        <v>1560</v>
      </c>
      <c r="P105" s="2" t="s">
        <v>22</v>
      </c>
      <c r="Q105" s="3"/>
      <c r="X105" s="70"/>
      <c r="AA105" s="32">
        <f t="shared" si="4"/>
        <v>46</v>
      </c>
      <c r="AB105" s="51"/>
      <c r="AC105" s="51" t="s">
        <v>1358</v>
      </c>
      <c r="AD105" s="52" t="s">
        <v>1564</v>
      </c>
      <c r="AE105" s="32" t="s">
        <v>594</v>
      </c>
      <c r="AF105" s="32" t="s">
        <v>141</v>
      </c>
      <c r="AG105" s="31" t="s">
        <v>142</v>
      </c>
      <c r="AH105" s="32">
        <v>8</v>
      </c>
      <c r="AI105" s="64"/>
      <c r="AJ105" s="32"/>
      <c r="AK105" s="32"/>
      <c r="AL105" s="32"/>
      <c r="AM105" s="32" t="s">
        <v>1561</v>
      </c>
      <c r="AP105" s="2" t="s">
        <v>22</v>
      </c>
      <c r="AQ105" s="3"/>
    </row>
    <row r="106" s="2" customFormat="1" ht="45" spans="1:43">
      <c r="A106" s="32">
        <f t="shared" si="3"/>
        <v>47</v>
      </c>
      <c r="B106" s="51"/>
      <c r="C106" s="51" t="s">
        <v>600</v>
      </c>
      <c r="D106" s="52" t="s">
        <v>1355</v>
      </c>
      <c r="E106" s="32" t="s">
        <v>1565</v>
      </c>
      <c r="F106" s="32" t="s">
        <v>153</v>
      </c>
      <c r="G106" s="31" t="s">
        <v>254</v>
      </c>
      <c r="H106" s="32" t="s">
        <v>8</v>
      </c>
      <c r="I106" s="64"/>
      <c r="J106" s="32"/>
      <c r="K106" s="32"/>
      <c r="L106" s="32"/>
      <c r="M106" s="32" t="s">
        <v>1560</v>
      </c>
      <c r="P106" s="2" t="s">
        <v>22</v>
      </c>
      <c r="Q106" s="3" t="s">
        <v>1344</v>
      </c>
      <c r="X106" s="70"/>
      <c r="AA106" s="32">
        <f t="shared" si="4"/>
        <v>47</v>
      </c>
      <c r="AB106" s="51"/>
      <c r="AC106" s="51" t="s">
        <v>600</v>
      </c>
      <c r="AD106" s="52" t="s">
        <v>1355</v>
      </c>
      <c r="AE106" s="32" t="s">
        <v>1566</v>
      </c>
      <c r="AF106" s="32" t="s">
        <v>153</v>
      </c>
      <c r="AG106" s="31" t="s">
        <v>254</v>
      </c>
      <c r="AH106" s="32" t="s">
        <v>8</v>
      </c>
      <c r="AI106" s="64"/>
      <c r="AJ106" s="32"/>
      <c r="AK106" s="32"/>
      <c r="AL106" s="32"/>
      <c r="AM106" s="32" t="s">
        <v>1561</v>
      </c>
      <c r="AP106" s="2" t="s">
        <v>22</v>
      </c>
      <c r="AQ106" s="3" t="s">
        <v>1346</v>
      </c>
    </row>
    <row r="107" s="2" customFormat="1" ht="56.25" spans="1:43">
      <c r="A107" s="32">
        <f t="shared" si="3"/>
        <v>48</v>
      </c>
      <c r="B107" s="60"/>
      <c r="C107" s="51" t="s">
        <v>1567</v>
      </c>
      <c r="D107" s="52" t="s">
        <v>1568</v>
      </c>
      <c r="E107" s="32" t="s">
        <v>1569</v>
      </c>
      <c r="F107" s="32" t="s">
        <v>1027</v>
      </c>
      <c r="G107" s="31" t="s">
        <v>517</v>
      </c>
      <c r="H107" s="32" t="s">
        <v>8</v>
      </c>
      <c r="I107" s="64"/>
      <c r="J107" s="32"/>
      <c r="K107" s="32"/>
      <c r="L107" s="32"/>
      <c r="M107" s="32" t="s">
        <v>1449</v>
      </c>
      <c r="Q107" s="3"/>
      <c r="X107" s="70"/>
      <c r="AA107" s="32">
        <f t="shared" si="4"/>
        <v>48</v>
      </c>
      <c r="AB107" s="75"/>
      <c r="AC107" s="51" t="s">
        <v>1567</v>
      </c>
      <c r="AD107" s="52" t="s">
        <v>1568</v>
      </c>
      <c r="AE107" s="32" t="s">
        <v>1570</v>
      </c>
      <c r="AF107" s="32" t="s">
        <v>1027</v>
      </c>
      <c r="AG107" s="31" t="s">
        <v>517</v>
      </c>
      <c r="AH107" s="32" t="s">
        <v>8</v>
      </c>
      <c r="AI107" s="64"/>
      <c r="AJ107" s="32"/>
      <c r="AK107" s="32"/>
      <c r="AL107" s="32"/>
      <c r="AM107" s="32" t="s">
        <v>1450</v>
      </c>
      <c r="AQ107" s="3"/>
    </row>
    <row r="108" s="2" customFormat="1" ht="45" spans="1:43">
      <c r="A108" s="32">
        <f t="shared" si="3"/>
        <v>49</v>
      </c>
      <c r="B108" s="60"/>
      <c r="C108" s="51" t="s">
        <v>1571</v>
      </c>
      <c r="D108" s="52" t="s">
        <v>1572</v>
      </c>
      <c r="E108" s="32" t="s">
        <v>1573</v>
      </c>
      <c r="F108" s="32" t="s">
        <v>1027</v>
      </c>
      <c r="G108" s="31" t="s">
        <v>517</v>
      </c>
      <c r="H108" s="32" t="s">
        <v>8</v>
      </c>
      <c r="I108" s="64"/>
      <c r="J108" s="32"/>
      <c r="K108" s="32"/>
      <c r="L108" s="32"/>
      <c r="M108" s="32" t="s">
        <v>1449</v>
      </c>
      <c r="Q108" s="3"/>
      <c r="X108" s="70"/>
      <c r="AA108" s="32">
        <f t="shared" si="4"/>
        <v>49</v>
      </c>
      <c r="AB108" s="75"/>
      <c r="AC108" s="51" t="s">
        <v>1571</v>
      </c>
      <c r="AD108" s="52" t="s">
        <v>1572</v>
      </c>
      <c r="AE108" s="32" t="s">
        <v>1574</v>
      </c>
      <c r="AF108" s="32" t="s">
        <v>1027</v>
      </c>
      <c r="AG108" s="31" t="s">
        <v>517</v>
      </c>
      <c r="AH108" s="32" t="s">
        <v>8</v>
      </c>
      <c r="AI108" s="64"/>
      <c r="AJ108" s="32"/>
      <c r="AK108" s="32"/>
      <c r="AL108" s="32"/>
      <c r="AM108" s="32" t="s">
        <v>1450</v>
      </c>
      <c r="AQ108" s="3"/>
    </row>
    <row r="109" s="2" customFormat="1" ht="22.5" spans="1:39">
      <c r="A109" s="31">
        <f t="shared" si="3"/>
        <v>50</v>
      </c>
      <c r="B109" s="59"/>
      <c r="C109" s="31" t="s">
        <v>474</v>
      </c>
      <c r="D109" s="31" t="s">
        <v>475</v>
      </c>
      <c r="E109" s="31"/>
      <c r="F109" s="31"/>
      <c r="G109" s="31" t="s">
        <v>474</v>
      </c>
      <c r="H109" s="31"/>
      <c r="I109" s="43"/>
      <c r="J109" s="31"/>
      <c r="K109" s="31"/>
      <c r="L109" s="31"/>
      <c r="M109" s="31"/>
      <c r="X109" s="70"/>
      <c r="AA109" s="31">
        <f t="shared" si="4"/>
        <v>50</v>
      </c>
      <c r="AB109" s="59"/>
      <c r="AC109" s="31" t="s">
        <v>474</v>
      </c>
      <c r="AD109" s="31" t="s">
        <v>475</v>
      </c>
      <c r="AE109" s="31"/>
      <c r="AF109" s="31"/>
      <c r="AG109" s="31" t="s">
        <v>474</v>
      </c>
      <c r="AH109" s="31"/>
      <c r="AI109" s="43"/>
      <c r="AJ109" s="31"/>
      <c r="AK109" s="31"/>
      <c r="AL109" s="31"/>
      <c r="AM109" s="31"/>
    </row>
    <row r="110" s="2" customFormat="1" ht="135" spans="1:39">
      <c r="A110" s="31">
        <f t="shared" si="3"/>
        <v>51</v>
      </c>
      <c r="B110" s="51" t="s">
        <v>836</v>
      </c>
      <c r="C110" s="31" t="s">
        <v>450</v>
      </c>
      <c r="D110" s="31" t="s">
        <v>451</v>
      </c>
      <c r="E110" s="31" t="s">
        <v>452</v>
      </c>
      <c r="F110" s="31"/>
      <c r="G110" s="31" t="s">
        <v>142</v>
      </c>
      <c r="H110" s="31">
        <v>32</v>
      </c>
      <c r="I110" s="43"/>
      <c r="J110" s="31"/>
      <c r="K110" s="31"/>
      <c r="L110" s="31"/>
      <c r="M110" s="67" t="s">
        <v>840</v>
      </c>
      <c r="X110" s="70"/>
      <c r="AA110" s="31">
        <f t="shared" si="4"/>
        <v>51</v>
      </c>
      <c r="AB110" s="59"/>
      <c r="AC110" s="31" t="s">
        <v>450</v>
      </c>
      <c r="AD110" s="31" t="s">
        <v>451</v>
      </c>
      <c r="AE110" s="31" t="s">
        <v>454</v>
      </c>
      <c r="AF110" s="31"/>
      <c r="AG110" s="31" t="s">
        <v>142</v>
      </c>
      <c r="AH110" s="31">
        <v>32</v>
      </c>
      <c r="AI110" s="43"/>
      <c r="AJ110" s="31"/>
      <c r="AK110" s="31"/>
      <c r="AL110" s="31"/>
      <c r="AM110" s="82" t="s">
        <v>956</v>
      </c>
    </row>
    <row r="111" s="2" customFormat="1" ht="22.5" spans="1:43">
      <c r="A111" s="31">
        <f t="shared" si="3"/>
        <v>52</v>
      </c>
      <c r="B111" s="51"/>
      <c r="C111" s="32" t="s">
        <v>526</v>
      </c>
      <c r="D111" s="52" t="s">
        <v>527</v>
      </c>
      <c r="E111" s="32" t="s">
        <v>612</v>
      </c>
      <c r="F111" s="32" t="s">
        <v>172</v>
      </c>
      <c r="G111" s="31" t="s">
        <v>173</v>
      </c>
      <c r="H111" s="32" t="s">
        <v>8</v>
      </c>
      <c r="I111" s="64"/>
      <c r="J111" s="32"/>
      <c r="K111" s="32"/>
      <c r="L111" s="32"/>
      <c r="M111" s="32"/>
      <c r="Q111" s="3"/>
      <c r="X111" s="70"/>
      <c r="AA111" s="31">
        <f t="shared" si="4"/>
        <v>52</v>
      </c>
      <c r="AB111" s="51"/>
      <c r="AC111" s="32" t="s">
        <v>526</v>
      </c>
      <c r="AD111" s="52" t="s">
        <v>527</v>
      </c>
      <c r="AE111" s="32" t="s">
        <v>613</v>
      </c>
      <c r="AF111" s="32" t="s">
        <v>172</v>
      </c>
      <c r="AG111" s="31" t="s">
        <v>173</v>
      </c>
      <c r="AH111" s="32" t="s">
        <v>8</v>
      </c>
      <c r="AI111" s="64"/>
      <c r="AJ111" s="32"/>
      <c r="AK111" s="32"/>
      <c r="AL111" s="32"/>
      <c r="AM111" s="32"/>
      <c r="AQ111" s="3"/>
    </row>
    <row r="112" s="2" customFormat="1" spans="1:43">
      <c r="A112" s="32">
        <f t="shared" si="3"/>
        <v>53</v>
      </c>
      <c r="B112" s="51"/>
      <c r="C112" s="32" t="s">
        <v>528</v>
      </c>
      <c r="D112" s="52" t="s">
        <v>529</v>
      </c>
      <c r="E112" s="32"/>
      <c r="F112" s="32" t="s">
        <v>172</v>
      </c>
      <c r="G112" s="31" t="s">
        <v>173</v>
      </c>
      <c r="H112" s="32" t="s">
        <v>8</v>
      </c>
      <c r="I112" s="64"/>
      <c r="J112" s="32"/>
      <c r="K112" s="32"/>
      <c r="L112" s="32"/>
      <c r="M112" s="32"/>
      <c r="N112" s="2" t="s">
        <v>22</v>
      </c>
      <c r="O112" s="2" t="s">
        <v>22</v>
      </c>
      <c r="P112" s="2" t="s">
        <v>22</v>
      </c>
      <c r="Q112" s="3"/>
      <c r="X112" s="70"/>
      <c r="AA112" s="32">
        <f t="shared" si="4"/>
        <v>53</v>
      </c>
      <c r="AB112" s="51"/>
      <c r="AC112" s="32" t="s">
        <v>528</v>
      </c>
      <c r="AD112" s="52" t="s">
        <v>529</v>
      </c>
      <c r="AE112" s="32"/>
      <c r="AF112" s="32" t="s">
        <v>172</v>
      </c>
      <c r="AG112" s="31" t="s">
        <v>173</v>
      </c>
      <c r="AH112" s="32" t="s">
        <v>8</v>
      </c>
      <c r="AI112" s="64"/>
      <c r="AJ112" s="32"/>
      <c r="AK112" s="32"/>
      <c r="AL112" s="32"/>
      <c r="AM112" s="32"/>
      <c r="AN112" s="2" t="s">
        <v>22</v>
      </c>
      <c r="AO112" s="2" t="s">
        <v>22</v>
      </c>
      <c r="AP112" s="2" t="s">
        <v>22</v>
      </c>
      <c r="AQ112" s="3"/>
    </row>
    <row r="113" s="2" customFormat="1" spans="1:43">
      <c r="A113" s="56">
        <f t="shared" si="3"/>
        <v>54</v>
      </c>
      <c r="B113" s="57"/>
      <c r="C113" s="56" t="s">
        <v>1575</v>
      </c>
      <c r="D113" s="58" t="s">
        <v>1576</v>
      </c>
      <c r="E113" s="56" t="s">
        <v>1577</v>
      </c>
      <c r="F113" s="56" t="s">
        <v>285</v>
      </c>
      <c r="G113" s="56" t="s">
        <v>142</v>
      </c>
      <c r="H113" s="56"/>
      <c r="I113" s="66"/>
      <c r="J113" s="56"/>
      <c r="K113" s="56"/>
      <c r="L113" s="56"/>
      <c r="M113" s="56" t="s">
        <v>230</v>
      </c>
      <c r="O113" s="2" t="s">
        <v>22</v>
      </c>
      <c r="Q113" s="3"/>
      <c r="X113" s="70"/>
      <c r="AA113" s="71">
        <f t="shared" si="4"/>
        <v>54</v>
      </c>
      <c r="AB113" s="72"/>
      <c r="AC113" s="71" t="s">
        <v>1575</v>
      </c>
      <c r="AD113" s="73" t="s">
        <v>1576</v>
      </c>
      <c r="AE113" s="71" t="s">
        <v>1577</v>
      </c>
      <c r="AF113" s="71" t="s">
        <v>285</v>
      </c>
      <c r="AG113" s="71" t="s">
        <v>142</v>
      </c>
      <c r="AH113" s="71"/>
      <c r="AI113" s="80"/>
      <c r="AJ113" s="71"/>
      <c r="AK113" s="71"/>
      <c r="AL113" s="71"/>
      <c r="AM113" s="71" t="s">
        <v>230</v>
      </c>
      <c r="AO113" s="2" t="s">
        <v>22</v>
      </c>
      <c r="AQ113" s="3"/>
    </row>
    <row r="114" s="2" customFormat="1" ht="22.5" spans="1:43">
      <c r="A114" s="32">
        <f t="shared" si="3"/>
        <v>55</v>
      </c>
      <c r="B114" s="51"/>
      <c r="C114" s="32" t="s">
        <v>530</v>
      </c>
      <c r="D114" s="52" t="s">
        <v>614</v>
      </c>
      <c r="E114" s="32" t="s">
        <v>1578</v>
      </c>
      <c r="F114" s="32" t="s">
        <v>141</v>
      </c>
      <c r="G114" s="31" t="s">
        <v>142</v>
      </c>
      <c r="H114" s="32">
        <v>5</v>
      </c>
      <c r="I114" s="64"/>
      <c r="J114" s="32"/>
      <c r="K114" s="32"/>
      <c r="L114" s="32"/>
      <c r="M114" s="32"/>
      <c r="Q114" s="3"/>
      <c r="X114" s="70"/>
      <c r="AA114" s="32">
        <f t="shared" si="4"/>
        <v>55</v>
      </c>
      <c r="AB114" s="51"/>
      <c r="AC114" s="32" t="s">
        <v>530</v>
      </c>
      <c r="AD114" s="52" t="s">
        <v>614</v>
      </c>
      <c r="AE114" s="32" t="s">
        <v>1579</v>
      </c>
      <c r="AF114" s="32" t="s">
        <v>141</v>
      </c>
      <c r="AG114" s="31" t="s">
        <v>142</v>
      </c>
      <c r="AH114" s="32">
        <v>5</v>
      </c>
      <c r="AI114" s="64"/>
      <c r="AJ114" s="32"/>
      <c r="AK114" s="32"/>
      <c r="AL114" s="32"/>
      <c r="AM114" s="32"/>
      <c r="AQ114" s="3"/>
    </row>
    <row r="115" s="2" customFormat="1" spans="1:43">
      <c r="A115" s="32">
        <f t="shared" si="3"/>
        <v>56</v>
      </c>
      <c r="B115" s="51"/>
      <c r="C115" s="32" t="s">
        <v>1419</v>
      </c>
      <c r="D115" s="52" t="s">
        <v>1420</v>
      </c>
      <c r="E115" s="32" t="s">
        <v>1421</v>
      </c>
      <c r="F115" s="32" t="s">
        <v>301</v>
      </c>
      <c r="G115" s="31" t="s">
        <v>306</v>
      </c>
      <c r="H115" s="32" t="s">
        <v>8</v>
      </c>
      <c r="I115" s="64"/>
      <c r="J115" s="32"/>
      <c r="K115" s="32"/>
      <c r="L115" s="32"/>
      <c r="M115" s="32"/>
      <c r="Q115" s="3"/>
      <c r="X115" s="70"/>
      <c r="AA115" s="32">
        <f t="shared" si="4"/>
        <v>56</v>
      </c>
      <c r="AB115" s="51"/>
      <c r="AC115" s="32" t="s">
        <v>1419</v>
      </c>
      <c r="AD115" s="52" t="s">
        <v>1420</v>
      </c>
      <c r="AE115" s="32" t="s">
        <v>1580</v>
      </c>
      <c r="AF115" s="32" t="s">
        <v>301</v>
      </c>
      <c r="AG115" s="31" t="s">
        <v>306</v>
      </c>
      <c r="AH115" s="32" t="s">
        <v>8</v>
      </c>
      <c r="AI115" s="64"/>
      <c r="AJ115" s="32"/>
      <c r="AK115" s="32"/>
      <c r="AL115" s="32"/>
      <c r="AM115" s="32"/>
      <c r="AQ115" s="3"/>
    </row>
    <row r="116" s="2" customFormat="1" ht="22.5" spans="1:43">
      <c r="A116" s="32">
        <f t="shared" si="3"/>
        <v>57</v>
      </c>
      <c r="B116" s="51"/>
      <c r="C116" s="32" t="s">
        <v>1423</v>
      </c>
      <c r="D116" s="52" t="s">
        <v>1581</v>
      </c>
      <c r="E116" s="32" t="s">
        <v>1582</v>
      </c>
      <c r="F116" s="32" t="s">
        <v>301</v>
      </c>
      <c r="G116" s="31" t="s">
        <v>306</v>
      </c>
      <c r="H116" s="32" t="s">
        <v>8</v>
      </c>
      <c r="I116" s="64"/>
      <c r="J116" s="32"/>
      <c r="K116" s="32"/>
      <c r="L116" s="32"/>
      <c r="M116" s="32"/>
      <c r="Q116" s="3"/>
      <c r="X116" s="70"/>
      <c r="AA116" s="32">
        <f t="shared" si="4"/>
        <v>57</v>
      </c>
      <c r="AB116" s="51"/>
      <c r="AC116" s="32" t="s">
        <v>1423</v>
      </c>
      <c r="AD116" s="52" t="s">
        <v>1581</v>
      </c>
      <c r="AE116" s="32" t="s">
        <v>1583</v>
      </c>
      <c r="AF116" s="32" t="s">
        <v>301</v>
      </c>
      <c r="AG116" s="31" t="s">
        <v>306</v>
      </c>
      <c r="AH116" s="32" t="s">
        <v>8</v>
      </c>
      <c r="AI116" s="64"/>
      <c r="AJ116" s="32"/>
      <c r="AK116" s="32"/>
      <c r="AL116" s="32"/>
      <c r="AM116" s="32"/>
      <c r="AQ116" s="3"/>
    </row>
    <row r="117" s="2" customFormat="1" ht="22.5" spans="1:39">
      <c r="A117" s="33">
        <f t="shared" si="3"/>
        <v>58</v>
      </c>
      <c r="B117" s="34"/>
      <c r="C117" s="33" t="s">
        <v>150</v>
      </c>
      <c r="D117" s="35" t="s">
        <v>151</v>
      </c>
      <c r="E117" s="33" t="s">
        <v>152</v>
      </c>
      <c r="F117" s="33" t="s">
        <v>153</v>
      </c>
      <c r="G117" s="33" t="s">
        <v>154</v>
      </c>
      <c r="H117" s="33" t="s">
        <v>8</v>
      </c>
      <c r="I117" s="45" t="s">
        <v>22</v>
      </c>
      <c r="J117" s="225" t="s">
        <v>155</v>
      </c>
      <c r="K117" s="33"/>
      <c r="L117" s="33"/>
      <c r="M117" s="33" t="s">
        <v>156</v>
      </c>
      <c r="X117" s="70"/>
      <c r="AA117" s="76">
        <f t="shared" si="4"/>
        <v>58</v>
      </c>
      <c r="AB117" s="77"/>
      <c r="AC117" s="76" t="s">
        <v>150</v>
      </c>
      <c r="AD117" s="78" t="s">
        <v>151</v>
      </c>
      <c r="AE117" s="76" t="s">
        <v>644</v>
      </c>
      <c r="AF117" s="76" t="s">
        <v>153</v>
      </c>
      <c r="AG117" s="76" t="s">
        <v>154</v>
      </c>
      <c r="AH117" s="76" t="s">
        <v>8</v>
      </c>
      <c r="AI117" s="81" t="s">
        <v>22</v>
      </c>
      <c r="AJ117" s="230" t="s">
        <v>155</v>
      </c>
      <c r="AK117" s="76"/>
      <c r="AL117" s="76"/>
      <c r="AM117" s="76" t="s">
        <v>617</v>
      </c>
    </row>
    <row r="118" s="2" customFormat="1" ht="22.5" spans="1:39">
      <c r="A118" s="33">
        <f t="shared" si="3"/>
        <v>59</v>
      </c>
      <c r="B118" s="34"/>
      <c r="C118" s="33" t="s">
        <v>159</v>
      </c>
      <c r="D118" s="35" t="s">
        <v>160</v>
      </c>
      <c r="E118" s="33" t="s">
        <v>161</v>
      </c>
      <c r="F118" s="33" t="s">
        <v>153</v>
      </c>
      <c r="G118" s="33" t="s">
        <v>162</v>
      </c>
      <c r="H118" s="33"/>
      <c r="I118" s="45" t="s">
        <v>22</v>
      </c>
      <c r="J118" s="33">
        <v>0</v>
      </c>
      <c r="K118" s="33"/>
      <c r="L118" s="33"/>
      <c r="M118" s="33"/>
      <c r="X118" s="70"/>
      <c r="AA118" s="76">
        <f t="shared" si="4"/>
        <v>59</v>
      </c>
      <c r="AB118" s="77"/>
      <c r="AC118" s="76" t="s">
        <v>159</v>
      </c>
      <c r="AD118" s="78" t="s">
        <v>160</v>
      </c>
      <c r="AE118" s="76" t="s">
        <v>163</v>
      </c>
      <c r="AF118" s="76" t="s">
        <v>153</v>
      </c>
      <c r="AG118" s="76" t="s">
        <v>162</v>
      </c>
      <c r="AH118" s="76"/>
      <c r="AI118" s="81" t="s">
        <v>22</v>
      </c>
      <c r="AJ118" s="76">
        <v>0</v>
      </c>
      <c r="AK118" s="76"/>
      <c r="AL118" s="76"/>
      <c r="AM118" s="76"/>
    </row>
    <row r="119" s="2" customFormat="1" spans="1:39">
      <c r="A119" s="33">
        <f t="shared" si="3"/>
        <v>60</v>
      </c>
      <c r="B119" s="34"/>
      <c r="C119" s="33" t="s">
        <v>164</v>
      </c>
      <c r="D119" s="35" t="s">
        <v>165</v>
      </c>
      <c r="E119" s="33"/>
      <c r="F119" s="33" t="s">
        <v>141</v>
      </c>
      <c r="G119" s="33" t="s">
        <v>142</v>
      </c>
      <c r="H119" s="33">
        <v>32</v>
      </c>
      <c r="I119" s="45"/>
      <c r="J119" s="33"/>
      <c r="K119" s="33"/>
      <c r="L119" s="33"/>
      <c r="M119" s="33"/>
      <c r="X119" s="70"/>
      <c r="AA119" s="76">
        <f t="shared" si="4"/>
        <v>60</v>
      </c>
      <c r="AB119" s="77"/>
      <c r="AC119" s="76" t="s">
        <v>164</v>
      </c>
      <c r="AD119" s="78" t="s">
        <v>165</v>
      </c>
      <c r="AE119" s="76"/>
      <c r="AF119" s="76" t="s">
        <v>141</v>
      </c>
      <c r="AG119" s="76" t="s">
        <v>142</v>
      </c>
      <c r="AH119" s="76">
        <v>32</v>
      </c>
      <c r="AI119" s="81"/>
      <c r="AJ119" s="76"/>
      <c r="AK119" s="76"/>
      <c r="AL119" s="76"/>
      <c r="AM119" s="76"/>
    </row>
    <row r="120" s="2" customFormat="1" spans="1:39">
      <c r="A120" s="33">
        <f t="shared" si="3"/>
        <v>61</v>
      </c>
      <c r="B120" s="34"/>
      <c r="C120" s="33" t="s">
        <v>166</v>
      </c>
      <c r="D120" s="35" t="s">
        <v>167</v>
      </c>
      <c r="E120" s="33"/>
      <c r="F120" s="33" t="s">
        <v>153</v>
      </c>
      <c r="G120" s="33" t="s">
        <v>142</v>
      </c>
      <c r="H120" s="33">
        <v>32</v>
      </c>
      <c r="I120" s="45"/>
      <c r="J120" s="33"/>
      <c r="K120" s="33"/>
      <c r="L120" s="33"/>
      <c r="M120" s="33" t="s">
        <v>168</v>
      </c>
      <c r="X120" s="70"/>
      <c r="AA120" s="76">
        <f t="shared" si="4"/>
        <v>61</v>
      </c>
      <c r="AB120" s="77"/>
      <c r="AC120" s="76" t="s">
        <v>166</v>
      </c>
      <c r="AD120" s="78" t="s">
        <v>167</v>
      </c>
      <c r="AE120" s="76"/>
      <c r="AF120" s="76" t="s">
        <v>153</v>
      </c>
      <c r="AG120" s="76" t="s">
        <v>142</v>
      </c>
      <c r="AH120" s="76">
        <v>32</v>
      </c>
      <c r="AI120" s="81"/>
      <c r="AJ120" s="76"/>
      <c r="AK120" s="76"/>
      <c r="AL120" s="76"/>
      <c r="AM120" s="76" t="s">
        <v>1159</v>
      </c>
    </row>
    <row r="121" s="2" customFormat="1" spans="1:39">
      <c r="A121" s="33">
        <f t="shared" si="3"/>
        <v>62</v>
      </c>
      <c r="B121" s="34"/>
      <c r="C121" s="36" t="s">
        <v>170</v>
      </c>
      <c r="D121" s="35" t="s">
        <v>171</v>
      </c>
      <c r="E121" s="33"/>
      <c r="F121" s="33" t="s">
        <v>172</v>
      </c>
      <c r="G121" s="33" t="s">
        <v>173</v>
      </c>
      <c r="H121" s="33" t="s">
        <v>8</v>
      </c>
      <c r="I121" s="45" t="s">
        <v>22</v>
      </c>
      <c r="J121" s="33"/>
      <c r="K121" s="33"/>
      <c r="L121" s="33"/>
      <c r="M121" s="33"/>
      <c r="X121" s="70"/>
      <c r="AA121" s="76">
        <f t="shared" si="4"/>
        <v>62</v>
      </c>
      <c r="AB121" s="77"/>
      <c r="AC121" s="76" t="s">
        <v>351</v>
      </c>
      <c r="AD121" s="78" t="s">
        <v>171</v>
      </c>
      <c r="AE121" s="76"/>
      <c r="AF121" s="76" t="s">
        <v>172</v>
      </c>
      <c r="AG121" s="76" t="s">
        <v>173</v>
      </c>
      <c r="AH121" s="76" t="s">
        <v>8</v>
      </c>
      <c r="AI121" s="81" t="s">
        <v>22</v>
      </c>
      <c r="AJ121" s="76"/>
      <c r="AK121" s="76"/>
      <c r="AL121" s="76"/>
      <c r="AM121" s="76"/>
    </row>
    <row r="122" s="2" customFormat="1" spans="1:39">
      <c r="A122" s="33">
        <f t="shared" si="3"/>
        <v>63</v>
      </c>
      <c r="B122" s="34"/>
      <c r="C122" s="33" t="s">
        <v>174</v>
      </c>
      <c r="D122" s="35" t="s">
        <v>175</v>
      </c>
      <c r="E122" s="33"/>
      <c r="F122" s="33" t="s">
        <v>141</v>
      </c>
      <c r="G122" s="33" t="s">
        <v>142</v>
      </c>
      <c r="H122" s="33">
        <v>32</v>
      </c>
      <c r="I122" s="45"/>
      <c r="J122" s="33"/>
      <c r="K122" s="33"/>
      <c r="L122" s="33"/>
      <c r="M122" s="33"/>
      <c r="X122" s="70"/>
      <c r="AA122" s="76">
        <f t="shared" si="4"/>
        <v>63</v>
      </c>
      <c r="AB122" s="77"/>
      <c r="AC122" s="76" t="s">
        <v>174</v>
      </c>
      <c r="AD122" s="78" t="s">
        <v>175</v>
      </c>
      <c r="AE122" s="76"/>
      <c r="AF122" s="76" t="s">
        <v>141</v>
      </c>
      <c r="AG122" s="76" t="s">
        <v>142</v>
      </c>
      <c r="AH122" s="76">
        <v>32</v>
      </c>
      <c r="AI122" s="81"/>
      <c r="AJ122" s="76"/>
      <c r="AK122" s="76"/>
      <c r="AL122" s="76"/>
      <c r="AM122" s="76"/>
    </row>
    <row r="123" s="2" customFormat="1" ht="22.5" spans="1:39">
      <c r="A123" s="33">
        <f t="shared" si="3"/>
        <v>64</v>
      </c>
      <c r="B123" s="34"/>
      <c r="C123" s="33" t="s">
        <v>176</v>
      </c>
      <c r="D123" s="35" t="s">
        <v>177</v>
      </c>
      <c r="E123" s="33" t="s">
        <v>178</v>
      </c>
      <c r="F123" s="33" t="s">
        <v>153</v>
      </c>
      <c r="G123" s="33" t="s">
        <v>142</v>
      </c>
      <c r="H123" s="33">
        <v>32</v>
      </c>
      <c r="I123" s="45"/>
      <c r="J123" s="33"/>
      <c r="K123" s="33"/>
      <c r="L123" s="33"/>
      <c r="M123" s="33" t="s">
        <v>179</v>
      </c>
      <c r="X123" s="70"/>
      <c r="AA123" s="76">
        <f t="shared" si="4"/>
        <v>64</v>
      </c>
      <c r="AB123" s="77"/>
      <c r="AC123" s="76" t="s">
        <v>176</v>
      </c>
      <c r="AD123" s="78" t="s">
        <v>177</v>
      </c>
      <c r="AE123" s="76" t="s">
        <v>180</v>
      </c>
      <c r="AF123" s="76" t="s">
        <v>153</v>
      </c>
      <c r="AG123" s="76" t="s">
        <v>142</v>
      </c>
      <c r="AH123" s="76">
        <v>32</v>
      </c>
      <c r="AI123" s="81"/>
      <c r="AJ123" s="76"/>
      <c r="AK123" s="76"/>
      <c r="AL123" s="76"/>
      <c r="AM123" s="76" t="s">
        <v>1160</v>
      </c>
    </row>
    <row r="124" s="2" customFormat="1" spans="1:39">
      <c r="A124" s="33">
        <f t="shared" si="3"/>
        <v>65</v>
      </c>
      <c r="B124" s="34"/>
      <c r="C124" s="36" t="s">
        <v>182</v>
      </c>
      <c r="D124" s="35" t="s">
        <v>183</v>
      </c>
      <c r="E124" s="33"/>
      <c r="F124" s="33" t="s">
        <v>172</v>
      </c>
      <c r="G124" s="33" t="s">
        <v>173</v>
      </c>
      <c r="H124" s="33" t="s">
        <v>8</v>
      </c>
      <c r="I124" s="45" t="s">
        <v>22</v>
      </c>
      <c r="J124" s="33"/>
      <c r="K124" s="33"/>
      <c r="L124" s="33"/>
      <c r="M124" s="33"/>
      <c r="X124" s="70"/>
      <c r="AA124" s="76">
        <f t="shared" si="4"/>
        <v>65</v>
      </c>
      <c r="AB124" s="77"/>
      <c r="AC124" s="76" t="s">
        <v>353</v>
      </c>
      <c r="AD124" s="78" t="s">
        <v>183</v>
      </c>
      <c r="AE124" s="76"/>
      <c r="AF124" s="76" t="s">
        <v>172</v>
      </c>
      <c r="AG124" s="76" t="s">
        <v>173</v>
      </c>
      <c r="AH124" s="76" t="s">
        <v>8</v>
      </c>
      <c r="AI124" s="81" t="s">
        <v>22</v>
      </c>
      <c r="AJ124" s="76"/>
      <c r="AK124" s="76"/>
      <c r="AL124" s="76"/>
      <c r="AM124" s="76"/>
    </row>
    <row r="126" spans="1:35">
      <c r="A126" s="6"/>
      <c r="B126" s="7" t="s">
        <v>15</v>
      </c>
      <c r="C126" s="49" t="s">
        <v>72</v>
      </c>
      <c r="D126" s="50"/>
      <c r="I126" s="37"/>
      <c r="AA126" s="6"/>
      <c r="AB126" s="7" t="s">
        <v>86</v>
      </c>
      <c r="AC126" s="49" t="s">
        <v>72</v>
      </c>
      <c r="AD126" s="50"/>
      <c r="AI126" s="37"/>
    </row>
    <row r="127" spans="1:39">
      <c r="A127" s="10"/>
      <c r="B127" s="11" t="s">
        <v>124</v>
      </c>
      <c r="C127" s="49" t="str">
        <f>テーブル一覧!E24</f>
        <v>T_SOD_IIJ_PROGRESS</v>
      </c>
      <c r="D127" s="50"/>
      <c r="E127" s="2" t="s">
        <v>1584</v>
      </c>
      <c r="F127" s="3"/>
      <c r="G127" s="3"/>
      <c r="H127" s="3"/>
      <c r="I127" s="37"/>
      <c r="J127" s="3"/>
      <c r="K127" s="3"/>
      <c r="L127" s="3"/>
      <c r="M127" s="38"/>
      <c r="AA127" s="10"/>
      <c r="AB127" s="11" t="s">
        <v>125</v>
      </c>
      <c r="AC127" s="49" t="e">
        <f>[1]テーブル一覧!AE24</f>
        <v>#REF!</v>
      </c>
      <c r="AD127" s="50"/>
      <c r="AE127" s="2" t="s">
        <v>1584</v>
      </c>
      <c r="AF127" s="3"/>
      <c r="AG127" s="3"/>
      <c r="AH127" s="3"/>
      <c r="AI127" s="37"/>
      <c r="AJ127" s="3"/>
      <c r="AK127" s="3"/>
      <c r="AL127" s="3"/>
      <c r="AM127" s="38"/>
    </row>
    <row r="128" ht="22.5" spans="1:39">
      <c r="A128" s="12" t="s">
        <v>0</v>
      </c>
      <c r="B128" s="13"/>
      <c r="C128" s="14" t="s">
        <v>126</v>
      </c>
      <c r="D128" s="15" t="s">
        <v>15</v>
      </c>
      <c r="E128" s="14" t="s">
        <v>16</v>
      </c>
      <c r="F128" s="16" t="s">
        <v>127</v>
      </c>
      <c r="G128" s="26" t="s">
        <v>127</v>
      </c>
      <c r="H128" s="14" t="s">
        <v>128</v>
      </c>
      <c r="I128" s="39" t="s">
        <v>129</v>
      </c>
      <c r="J128" s="14" t="s">
        <v>130</v>
      </c>
      <c r="K128" s="14" t="s">
        <v>131</v>
      </c>
      <c r="L128" s="14" t="s">
        <v>132</v>
      </c>
      <c r="M128" s="14" t="s">
        <v>6</v>
      </c>
      <c r="AA128" s="12" t="s">
        <v>0</v>
      </c>
      <c r="AB128" s="13"/>
      <c r="AC128" s="14" t="s">
        <v>133</v>
      </c>
      <c r="AD128" s="15" t="s">
        <v>86</v>
      </c>
      <c r="AE128" s="14" t="s">
        <v>87</v>
      </c>
      <c r="AF128" s="16" t="s">
        <v>134</v>
      </c>
      <c r="AG128" s="14" t="s">
        <v>134</v>
      </c>
      <c r="AH128" s="14" t="s">
        <v>128</v>
      </c>
      <c r="AI128" s="39" t="s">
        <v>135</v>
      </c>
      <c r="AJ128" s="14" t="s">
        <v>130</v>
      </c>
      <c r="AK128" s="14" t="s">
        <v>136</v>
      </c>
      <c r="AL128" s="14" t="s">
        <v>132</v>
      </c>
      <c r="AM128" s="14" t="s">
        <v>137</v>
      </c>
    </row>
    <row r="129" s="2" customFormat="1" spans="1:43">
      <c r="A129" s="32">
        <v>1</v>
      </c>
      <c r="B129" s="51"/>
      <c r="C129" s="32" t="s">
        <v>139</v>
      </c>
      <c r="D129" s="52" t="s">
        <v>300</v>
      </c>
      <c r="E129" s="32"/>
      <c r="F129" s="32" t="s">
        <v>301</v>
      </c>
      <c r="G129" s="32" t="s">
        <v>302</v>
      </c>
      <c r="H129" s="32" t="s">
        <v>8</v>
      </c>
      <c r="I129" s="64" t="s">
        <v>22</v>
      </c>
      <c r="J129" s="32"/>
      <c r="K129" s="32" t="s">
        <v>303</v>
      </c>
      <c r="L129" s="32" t="s">
        <v>188</v>
      </c>
      <c r="M129" s="32"/>
      <c r="Q129" s="3"/>
      <c r="X129" s="70"/>
      <c r="AA129" s="32">
        <v>1</v>
      </c>
      <c r="AB129" s="51"/>
      <c r="AC129" s="32" t="s">
        <v>139</v>
      </c>
      <c r="AD129" s="52" t="s">
        <v>300</v>
      </c>
      <c r="AE129" s="32"/>
      <c r="AF129" s="32" t="s">
        <v>301</v>
      </c>
      <c r="AG129" s="79" t="s">
        <v>302</v>
      </c>
      <c r="AH129" s="32" t="s">
        <v>8</v>
      </c>
      <c r="AI129" s="64" t="s">
        <v>22</v>
      </c>
      <c r="AJ129" s="32"/>
      <c r="AK129" s="32" t="s">
        <v>303</v>
      </c>
      <c r="AL129" s="32" t="s">
        <v>188</v>
      </c>
      <c r="AM129" s="32"/>
      <c r="AQ129" s="3"/>
    </row>
    <row r="130" s="2" customFormat="1" ht="45" spans="1:43">
      <c r="A130" s="32">
        <f>A129+1</f>
        <v>2</v>
      </c>
      <c r="B130" s="51"/>
      <c r="C130" s="32" t="s">
        <v>1111</v>
      </c>
      <c r="D130" s="32" t="s">
        <v>1112</v>
      </c>
      <c r="E130" s="32" t="s">
        <v>1585</v>
      </c>
      <c r="F130" s="32" t="s">
        <v>141</v>
      </c>
      <c r="G130" s="31" t="s">
        <v>142</v>
      </c>
      <c r="H130" s="32">
        <v>16</v>
      </c>
      <c r="I130" s="64" t="s">
        <v>22</v>
      </c>
      <c r="J130" s="32"/>
      <c r="K130" s="32"/>
      <c r="L130" s="32" t="s">
        <v>1305</v>
      </c>
      <c r="M130" s="32"/>
      <c r="Q130" s="3"/>
      <c r="X130" s="70"/>
      <c r="AA130" s="32">
        <f t="shared" ref="AA130:AA149" si="5">AA129+1</f>
        <v>2</v>
      </c>
      <c r="AB130" s="51"/>
      <c r="AC130" s="32" t="s">
        <v>1111</v>
      </c>
      <c r="AD130" s="32" t="s">
        <v>1112</v>
      </c>
      <c r="AE130" s="32" t="s">
        <v>1586</v>
      </c>
      <c r="AF130" s="32" t="s">
        <v>141</v>
      </c>
      <c r="AG130" s="31" t="s">
        <v>142</v>
      </c>
      <c r="AH130" s="32">
        <v>16</v>
      </c>
      <c r="AI130" s="64" t="s">
        <v>22</v>
      </c>
      <c r="AJ130" s="32"/>
      <c r="AK130" s="32"/>
      <c r="AL130" s="32" t="s">
        <v>1305</v>
      </c>
      <c r="AM130" s="32"/>
      <c r="AQ130" s="3"/>
    </row>
    <row r="131" s="2" customFormat="1" ht="67.5" spans="1:43">
      <c r="A131" s="32">
        <f>A130+1</f>
        <v>3</v>
      </c>
      <c r="B131" s="51"/>
      <c r="C131" s="32" t="s">
        <v>344</v>
      </c>
      <c r="D131" s="52" t="s">
        <v>373</v>
      </c>
      <c r="E131" s="32" t="s">
        <v>1587</v>
      </c>
      <c r="F131" s="32" t="s">
        <v>153</v>
      </c>
      <c r="G131" s="31" t="s">
        <v>254</v>
      </c>
      <c r="H131" s="32" t="s">
        <v>8</v>
      </c>
      <c r="I131" s="64" t="s">
        <v>22</v>
      </c>
      <c r="J131" s="32">
        <v>0</v>
      </c>
      <c r="K131" s="32"/>
      <c r="L131" s="32" t="s">
        <v>315</v>
      </c>
      <c r="M131" s="32" t="s">
        <v>1588</v>
      </c>
      <c r="Q131" s="3"/>
      <c r="X131" s="70"/>
      <c r="AA131" s="32">
        <f t="shared" si="5"/>
        <v>3</v>
      </c>
      <c r="AB131" s="51"/>
      <c r="AC131" s="32" t="s">
        <v>344</v>
      </c>
      <c r="AD131" s="52" t="s">
        <v>373</v>
      </c>
      <c r="AE131" s="32" t="s">
        <v>1589</v>
      </c>
      <c r="AF131" s="32" t="s">
        <v>153</v>
      </c>
      <c r="AG131" s="31" t="s">
        <v>254</v>
      </c>
      <c r="AH131" s="32" t="s">
        <v>8</v>
      </c>
      <c r="AI131" s="64" t="s">
        <v>22</v>
      </c>
      <c r="AJ131" s="32">
        <v>0</v>
      </c>
      <c r="AK131" s="32"/>
      <c r="AL131" s="32" t="s">
        <v>315</v>
      </c>
      <c r="AM131" s="32" t="s">
        <v>1590</v>
      </c>
      <c r="AQ131" s="3"/>
    </row>
    <row r="132" s="2" customFormat="1" spans="1:43">
      <c r="A132" s="32">
        <f t="shared" ref="A132:A149" si="6">A131+1</f>
        <v>4</v>
      </c>
      <c r="B132" s="51"/>
      <c r="C132" s="32" t="s">
        <v>1166</v>
      </c>
      <c r="D132" s="52" t="s">
        <v>1167</v>
      </c>
      <c r="E132" s="32"/>
      <c r="F132" s="32" t="s">
        <v>153</v>
      </c>
      <c r="G132" s="31" t="s">
        <v>254</v>
      </c>
      <c r="H132" s="32" t="s">
        <v>8</v>
      </c>
      <c r="I132" s="64" t="s">
        <v>22</v>
      </c>
      <c r="J132" s="32">
        <v>0</v>
      </c>
      <c r="K132" s="32"/>
      <c r="L132" s="32"/>
      <c r="M132" s="32"/>
      <c r="Q132" s="3"/>
      <c r="X132" s="70"/>
      <c r="AA132" s="32">
        <f t="shared" si="5"/>
        <v>4</v>
      </c>
      <c r="AB132" s="51"/>
      <c r="AC132" s="32" t="s">
        <v>1166</v>
      </c>
      <c r="AD132" s="52" t="s">
        <v>1167</v>
      </c>
      <c r="AE132" s="32"/>
      <c r="AF132" s="32" t="s">
        <v>153</v>
      </c>
      <c r="AG132" s="31" t="s">
        <v>254</v>
      </c>
      <c r="AH132" s="32" t="s">
        <v>8</v>
      </c>
      <c r="AI132" s="64" t="s">
        <v>22</v>
      </c>
      <c r="AJ132" s="32">
        <v>0</v>
      </c>
      <c r="AK132" s="32"/>
      <c r="AL132" s="32"/>
      <c r="AM132" s="32"/>
      <c r="AQ132" s="3"/>
    </row>
    <row r="133" s="2" customFormat="1" ht="22.5" spans="1:43">
      <c r="A133" s="32">
        <f t="shared" si="6"/>
        <v>5</v>
      </c>
      <c r="B133" s="51"/>
      <c r="C133" s="32" t="s">
        <v>1591</v>
      </c>
      <c r="D133" s="52" t="s">
        <v>1592</v>
      </c>
      <c r="E133" s="32" t="s">
        <v>1593</v>
      </c>
      <c r="F133" s="32" t="s">
        <v>285</v>
      </c>
      <c r="G133" s="31" t="s">
        <v>306</v>
      </c>
      <c r="H133" s="32"/>
      <c r="I133" s="64"/>
      <c r="J133" s="32"/>
      <c r="K133" s="32"/>
      <c r="L133" s="32"/>
      <c r="M133" s="32" t="s">
        <v>1594</v>
      </c>
      <c r="Q133" s="3"/>
      <c r="X133" s="70"/>
      <c r="AA133" s="32">
        <f t="shared" si="5"/>
        <v>5</v>
      </c>
      <c r="AB133" s="51"/>
      <c r="AC133" s="32" t="s">
        <v>1591</v>
      </c>
      <c r="AD133" s="52" t="s">
        <v>1592</v>
      </c>
      <c r="AE133" s="32" t="s">
        <v>1595</v>
      </c>
      <c r="AF133" s="32" t="s">
        <v>285</v>
      </c>
      <c r="AG133" s="31" t="s">
        <v>306</v>
      </c>
      <c r="AH133" s="32"/>
      <c r="AI133" s="64"/>
      <c r="AJ133" s="32"/>
      <c r="AK133" s="32"/>
      <c r="AL133" s="32"/>
      <c r="AM133" s="32" t="s">
        <v>1596</v>
      </c>
      <c r="AQ133" s="3"/>
    </row>
    <row r="134" s="47" customFormat="1" ht="78.75" spans="1:40">
      <c r="A134" s="32">
        <f t="shared" si="6"/>
        <v>6</v>
      </c>
      <c r="B134" s="51"/>
      <c r="C134" s="32" t="s">
        <v>1317</v>
      </c>
      <c r="D134" s="52" t="s">
        <v>1318</v>
      </c>
      <c r="E134" s="32" t="s">
        <v>1597</v>
      </c>
      <c r="F134" s="32" t="s">
        <v>141</v>
      </c>
      <c r="G134" s="31" t="s">
        <v>142</v>
      </c>
      <c r="H134" s="32">
        <v>60</v>
      </c>
      <c r="I134" s="64"/>
      <c r="J134" s="32"/>
      <c r="K134" s="32"/>
      <c r="L134" s="32"/>
      <c r="M134" s="32"/>
      <c r="N134" s="2"/>
      <c r="X134" s="85"/>
      <c r="AA134" s="32">
        <f t="shared" si="5"/>
        <v>6</v>
      </c>
      <c r="AB134" s="51"/>
      <c r="AC134" s="32" t="s">
        <v>1317</v>
      </c>
      <c r="AD134" s="52" t="s">
        <v>1318</v>
      </c>
      <c r="AE134" s="32" t="s">
        <v>1598</v>
      </c>
      <c r="AF134" s="32" t="s">
        <v>141</v>
      </c>
      <c r="AG134" s="31" t="s">
        <v>142</v>
      </c>
      <c r="AH134" s="32">
        <v>60</v>
      </c>
      <c r="AI134" s="64"/>
      <c r="AJ134" s="32"/>
      <c r="AK134" s="32"/>
      <c r="AL134" s="32"/>
      <c r="AM134" s="32"/>
      <c r="AN134" s="2"/>
    </row>
    <row r="135" s="47" customFormat="1" ht="45" spans="1:40">
      <c r="A135" s="32">
        <f t="shared" si="6"/>
        <v>7</v>
      </c>
      <c r="B135" s="51"/>
      <c r="C135" s="32" t="s">
        <v>420</v>
      </c>
      <c r="D135" s="52" t="s">
        <v>560</v>
      </c>
      <c r="E135" s="32" t="s">
        <v>1335</v>
      </c>
      <c r="F135" s="32" t="s">
        <v>141</v>
      </c>
      <c r="G135" s="31" t="s">
        <v>142</v>
      </c>
      <c r="H135" s="32">
        <v>11</v>
      </c>
      <c r="I135" s="64"/>
      <c r="J135" s="32"/>
      <c r="K135" s="32"/>
      <c r="L135" s="32"/>
      <c r="M135" s="32" t="s">
        <v>1599</v>
      </c>
      <c r="N135" s="2"/>
      <c r="X135" s="85"/>
      <c r="AA135" s="32">
        <f t="shared" si="5"/>
        <v>7</v>
      </c>
      <c r="AB135" s="51"/>
      <c r="AC135" s="32" t="s">
        <v>420</v>
      </c>
      <c r="AD135" s="52" t="s">
        <v>560</v>
      </c>
      <c r="AE135" s="32" t="s">
        <v>1336</v>
      </c>
      <c r="AF135" s="32" t="s">
        <v>141</v>
      </c>
      <c r="AG135" s="31" t="s">
        <v>142</v>
      </c>
      <c r="AH135" s="32">
        <v>11</v>
      </c>
      <c r="AI135" s="64"/>
      <c r="AJ135" s="32"/>
      <c r="AK135" s="32"/>
      <c r="AL135" s="32"/>
      <c r="AM135" s="32" t="s">
        <v>1600</v>
      </c>
      <c r="AN135" s="2"/>
    </row>
    <row r="136" s="47" customFormat="1" ht="22.5" spans="1:40">
      <c r="A136" s="32">
        <f t="shared" si="6"/>
        <v>8</v>
      </c>
      <c r="B136" s="51"/>
      <c r="C136" s="32" t="s">
        <v>424</v>
      </c>
      <c r="D136" s="52" t="s">
        <v>1337</v>
      </c>
      <c r="E136" s="32" t="s">
        <v>1338</v>
      </c>
      <c r="F136" s="32" t="s">
        <v>141</v>
      </c>
      <c r="G136" s="31" t="s">
        <v>142</v>
      </c>
      <c r="H136" s="32">
        <v>11</v>
      </c>
      <c r="I136" s="64"/>
      <c r="J136" s="32"/>
      <c r="K136" s="32"/>
      <c r="L136" s="32"/>
      <c r="M136" s="32" t="s">
        <v>1601</v>
      </c>
      <c r="N136" s="2"/>
      <c r="X136" s="85"/>
      <c r="AA136" s="32">
        <f t="shared" si="5"/>
        <v>8</v>
      </c>
      <c r="AB136" s="51"/>
      <c r="AC136" s="32" t="s">
        <v>424</v>
      </c>
      <c r="AD136" s="52" t="s">
        <v>1337</v>
      </c>
      <c r="AE136" s="32" t="s">
        <v>1339</v>
      </c>
      <c r="AF136" s="32" t="s">
        <v>141</v>
      </c>
      <c r="AG136" s="31" t="s">
        <v>142</v>
      </c>
      <c r="AH136" s="32">
        <v>11</v>
      </c>
      <c r="AI136" s="64"/>
      <c r="AJ136" s="32"/>
      <c r="AK136" s="32"/>
      <c r="AL136" s="32"/>
      <c r="AM136" s="32" t="s">
        <v>1602</v>
      </c>
      <c r="AN136" s="2"/>
    </row>
    <row r="137" s="2" customFormat="1" spans="1:43">
      <c r="A137" s="32">
        <f t="shared" si="6"/>
        <v>9</v>
      </c>
      <c r="B137" s="51"/>
      <c r="C137" s="32" t="s">
        <v>526</v>
      </c>
      <c r="D137" s="52" t="s">
        <v>527</v>
      </c>
      <c r="E137" s="32" t="s">
        <v>1603</v>
      </c>
      <c r="F137" s="32" t="s">
        <v>172</v>
      </c>
      <c r="G137" s="31" t="s">
        <v>173</v>
      </c>
      <c r="H137" s="32" t="s">
        <v>8</v>
      </c>
      <c r="I137" s="64"/>
      <c r="J137" s="32"/>
      <c r="K137" s="32"/>
      <c r="L137" s="32"/>
      <c r="M137" s="32" t="s">
        <v>1604</v>
      </c>
      <c r="Q137" s="3"/>
      <c r="X137" s="70"/>
      <c r="AA137" s="32">
        <f t="shared" si="5"/>
        <v>9</v>
      </c>
      <c r="AB137" s="51"/>
      <c r="AC137" s="32" t="s">
        <v>526</v>
      </c>
      <c r="AD137" s="52" t="s">
        <v>527</v>
      </c>
      <c r="AE137" s="32" t="s">
        <v>1605</v>
      </c>
      <c r="AF137" s="32" t="s">
        <v>172</v>
      </c>
      <c r="AG137" s="31" t="s">
        <v>173</v>
      </c>
      <c r="AH137" s="32" t="s">
        <v>8</v>
      </c>
      <c r="AI137" s="64"/>
      <c r="AJ137" s="32"/>
      <c r="AK137" s="32"/>
      <c r="AL137" s="32"/>
      <c r="AM137" s="32" t="s">
        <v>1606</v>
      </c>
      <c r="AQ137" s="3"/>
    </row>
    <row r="138" s="2" customFormat="1" spans="1:43">
      <c r="A138" s="32">
        <f t="shared" si="6"/>
        <v>10</v>
      </c>
      <c r="B138" s="51"/>
      <c r="C138" s="32" t="s">
        <v>528</v>
      </c>
      <c r="D138" s="52" t="s">
        <v>529</v>
      </c>
      <c r="E138" s="32" t="s">
        <v>1607</v>
      </c>
      <c r="F138" s="32" t="s">
        <v>172</v>
      </c>
      <c r="G138" s="31" t="s">
        <v>173</v>
      </c>
      <c r="H138" s="32" t="s">
        <v>8</v>
      </c>
      <c r="I138" s="64"/>
      <c r="J138" s="32"/>
      <c r="K138" s="32"/>
      <c r="L138" s="32"/>
      <c r="M138" s="32" t="s">
        <v>1604</v>
      </c>
      <c r="Q138" s="3"/>
      <c r="X138" s="70"/>
      <c r="AA138" s="32">
        <f t="shared" si="5"/>
        <v>10</v>
      </c>
      <c r="AB138" s="51"/>
      <c r="AC138" s="32" t="s">
        <v>528</v>
      </c>
      <c r="AD138" s="52" t="s">
        <v>529</v>
      </c>
      <c r="AE138" s="32" t="s">
        <v>1608</v>
      </c>
      <c r="AF138" s="32" t="s">
        <v>172</v>
      </c>
      <c r="AG138" s="31" t="s">
        <v>173</v>
      </c>
      <c r="AH138" s="32" t="s">
        <v>8</v>
      </c>
      <c r="AI138" s="64"/>
      <c r="AJ138" s="32"/>
      <c r="AK138" s="32"/>
      <c r="AL138" s="32"/>
      <c r="AM138" s="32" t="s">
        <v>1606</v>
      </c>
      <c r="AQ138" s="3"/>
    </row>
    <row r="139" s="2" customFormat="1" ht="22.5" spans="1:43">
      <c r="A139" s="32">
        <f t="shared" si="6"/>
        <v>11</v>
      </c>
      <c r="B139" s="51"/>
      <c r="C139" s="32" t="s">
        <v>1609</v>
      </c>
      <c r="D139" s="52" t="s">
        <v>1610</v>
      </c>
      <c r="E139" s="32" t="s">
        <v>1611</v>
      </c>
      <c r="F139" s="32" t="s">
        <v>141</v>
      </c>
      <c r="G139" s="31" t="s">
        <v>142</v>
      </c>
      <c r="H139" s="32">
        <v>12</v>
      </c>
      <c r="I139" s="64"/>
      <c r="J139" s="32"/>
      <c r="K139" s="32"/>
      <c r="L139" s="32"/>
      <c r="M139" s="32"/>
      <c r="Q139" s="3"/>
      <c r="X139" s="70"/>
      <c r="AA139" s="32">
        <f t="shared" si="5"/>
        <v>11</v>
      </c>
      <c r="AB139" s="51"/>
      <c r="AC139" s="32" t="s">
        <v>1609</v>
      </c>
      <c r="AD139" s="52" t="s">
        <v>1610</v>
      </c>
      <c r="AE139" s="32" t="s">
        <v>1612</v>
      </c>
      <c r="AF139" s="32" t="s">
        <v>141</v>
      </c>
      <c r="AG139" s="31" t="s">
        <v>142</v>
      </c>
      <c r="AH139" s="32">
        <v>12</v>
      </c>
      <c r="AI139" s="64"/>
      <c r="AJ139" s="32"/>
      <c r="AK139" s="32"/>
      <c r="AL139" s="32"/>
      <c r="AM139" s="32"/>
      <c r="AQ139" s="3"/>
    </row>
    <row r="140" s="2" customFormat="1" spans="1:43">
      <c r="A140" s="32">
        <f t="shared" si="6"/>
        <v>12</v>
      </c>
      <c r="B140" s="51"/>
      <c r="C140" s="32" t="s">
        <v>1419</v>
      </c>
      <c r="D140" s="52" t="s">
        <v>1420</v>
      </c>
      <c r="E140" s="32" t="s">
        <v>1421</v>
      </c>
      <c r="F140" s="32" t="s">
        <v>301</v>
      </c>
      <c r="G140" s="31" t="s">
        <v>306</v>
      </c>
      <c r="H140" s="32" t="s">
        <v>8</v>
      </c>
      <c r="I140" s="64"/>
      <c r="J140" s="32"/>
      <c r="K140" s="32"/>
      <c r="L140" s="32"/>
      <c r="M140" s="32"/>
      <c r="Q140" s="3"/>
      <c r="X140" s="70"/>
      <c r="AA140" s="32">
        <f t="shared" si="5"/>
        <v>12</v>
      </c>
      <c r="AB140" s="51"/>
      <c r="AC140" s="32" t="s">
        <v>1419</v>
      </c>
      <c r="AD140" s="52" t="s">
        <v>1420</v>
      </c>
      <c r="AE140" s="32" t="s">
        <v>1580</v>
      </c>
      <c r="AF140" s="32" t="s">
        <v>301</v>
      </c>
      <c r="AG140" s="31" t="s">
        <v>306</v>
      </c>
      <c r="AH140" s="32" t="s">
        <v>8</v>
      </c>
      <c r="AI140" s="64"/>
      <c r="AJ140" s="32"/>
      <c r="AK140" s="32"/>
      <c r="AL140" s="32"/>
      <c r="AM140" s="32"/>
      <c r="AQ140" s="3"/>
    </row>
    <row r="141" s="2" customFormat="1" ht="22.5" spans="1:43">
      <c r="A141" s="32">
        <f t="shared" si="6"/>
        <v>13</v>
      </c>
      <c r="B141" s="51"/>
      <c r="C141" s="32" t="s">
        <v>1613</v>
      </c>
      <c r="D141" s="52" t="s">
        <v>1558</v>
      </c>
      <c r="E141" s="32" t="s">
        <v>1614</v>
      </c>
      <c r="F141" s="32" t="s">
        <v>141</v>
      </c>
      <c r="G141" s="31" t="s">
        <v>142</v>
      </c>
      <c r="H141" s="32">
        <v>8</v>
      </c>
      <c r="I141" s="64"/>
      <c r="J141" s="32"/>
      <c r="K141" s="32"/>
      <c r="L141" s="32"/>
      <c r="M141" s="32"/>
      <c r="Q141" s="3"/>
      <c r="X141" s="70"/>
      <c r="AA141" s="32">
        <f t="shared" si="5"/>
        <v>13</v>
      </c>
      <c r="AB141" s="51"/>
      <c r="AC141" s="32" t="s">
        <v>1613</v>
      </c>
      <c r="AD141" s="52" t="s">
        <v>1558</v>
      </c>
      <c r="AE141" s="32" t="s">
        <v>1615</v>
      </c>
      <c r="AF141" s="32" t="s">
        <v>141</v>
      </c>
      <c r="AG141" s="31" t="s">
        <v>142</v>
      </c>
      <c r="AH141" s="32">
        <v>8</v>
      </c>
      <c r="AI141" s="64"/>
      <c r="AJ141" s="32"/>
      <c r="AK141" s="32"/>
      <c r="AL141" s="32"/>
      <c r="AM141" s="32"/>
      <c r="AQ141" s="3"/>
    </row>
    <row r="142" s="2" customFormat="1" ht="22.5" spans="1:39">
      <c r="A142" s="33">
        <f t="shared" si="6"/>
        <v>14</v>
      </c>
      <c r="B142" s="34"/>
      <c r="C142" s="33" t="s">
        <v>150</v>
      </c>
      <c r="D142" s="35" t="s">
        <v>151</v>
      </c>
      <c r="E142" s="33" t="s">
        <v>152</v>
      </c>
      <c r="F142" s="33" t="s">
        <v>153</v>
      </c>
      <c r="G142" s="33" t="s">
        <v>154</v>
      </c>
      <c r="H142" s="33" t="s">
        <v>8</v>
      </c>
      <c r="I142" s="45" t="s">
        <v>22</v>
      </c>
      <c r="J142" s="225" t="s">
        <v>155</v>
      </c>
      <c r="K142" s="33"/>
      <c r="L142" s="33"/>
      <c r="M142" s="33" t="s">
        <v>156</v>
      </c>
      <c r="X142" s="70"/>
      <c r="AA142" s="76">
        <f t="shared" si="5"/>
        <v>14</v>
      </c>
      <c r="AB142" s="77"/>
      <c r="AC142" s="76" t="s">
        <v>150</v>
      </c>
      <c r="AD142" s="78" t="s">
        <v>151</v>
      </c>
      <c r="AE142" s="76" t="s">
        <v>644</v>
      </c>
      <c r="AF142" s="76" t="s">
        <v>153</v>
      </c>
      <c r="AG142" s="76" t="s">
        <v>154</v>
      </c>
      <c r="AH142" s="76" t="s">
        <v>8</v>
      </c>
      <c r="AI142" s="81" t="s">
        <v>22</v>
      </c>
      <c r="AJ142" s="230" t="s">
        <v>155</v>
      </c>
      <c r="AK142" s="76"/>
      <c r="AL142" s="76"/>
      <c r="AM142" s="76" t="s">
        <v>617</v>
      </c>
    </row>
    <row r="143" s="2" customFormat="1" ht="22.5" spans="1:39">
      <c r="A143" s="33">
        <f t="shared" si="6"/>
        <v>15</v>
      </c>
      <c r="B143" s="34"/>
      <c r="C143" s="33" t="s">
        <v>159</v>
      </c>
      <c r="D143" s="35" t="s">
        <v>160</v>
      </c>
      <c r="E143" s="33" t="s">
        <v>161</v>
      </c>
      <c r="F143" s="33" t="s">
        <v>153</v>
      </c>
      <c r="G143" s="33" t="s">
        <v>162</v>
      </c>
      <c r="H143" s="33"/>
      <c r="I143" s="45" t="s">
        <v>22</v>
      </c>
      <c r="J143" s="33">
        <v>0</v>
      </c>
      <c r="K143" s="33"/>
      <c r="L143" s="33"/>
      <c r="M143" s="33"/>
      <c r="X143" s="70"/>
      <c r="AA143" s="76">
        <f t="shared" si="5"/>
        <v>15</v>
      </c>
      <c r="AB143" s="77"/>
      <c r="AC143" s="76" t="s">
        <v>159</v>
      </c>
      <c r="AD143" s="78" t="s">
        <v>160</v>
      </c>
      <c r="AE143" s="76" t="s">
        <v>163</v>
      </c>
      <c r="AF143" s="76" t="s">
        <v>153</v>
      </c>
      <c r="AG143" s="76" t="s">
        <v>162</v>
      </c>
      <c r="AH143" s="76"/>
      <c r="AI143" s="81" t="s">
        <v>22</v>
      </c>
      <c r="AJ143" s="76">
        <v>0</v>
      </c>
      <c r="AK143" s="76"/>
      <c r="AL143" s="76"/>
      <c r="AM143" s="76"/>
    </row>
    <row r="144" s="2" customFormat="1" spans="1:39">
      <c r="A144" s="33">
        <f t="shared" si="6"/>
        <v>16</v>
      </c>
      <c r="B144" s="34"/>
      <c r="C144" s="33" t="s">
        <v>164</v>
      </c>
      <c r="D144" s="35" t="s">
        <v>165</v>
      </c>
      <c r="E144" s="33"/>
      <c r="F144" s="33" t="s">
        <v>141</v>
      </c>
      <c r="G144" s="33" t="s">
        <v>142</v>
      </c>
      <c r="H144" s="33">
        <v>32</v>
      </c>
      <c r="I144" s="45"/>
      <c r="J144" s="33"/>
      <c r="K144" s="33"/>
      <c r="L144" s="33"/>
      <c r="M144" s="33"/>
      <c r="X144" s="70"/>
      <c r="AA144" s="76">
        <f t="shared" si="5"/>
        <v>16</v>
      </c>
      <c r="AB144" s="77"/>
      <c r="AC144" s="76" t="s">
        <v>164</v>
      </c>
      <c r="AD144" s="78" t="s">
        <v>165</v>
      </c>
      <c r="AE144" s="76"/>
      <c r="AF144" s="76" t="s">
        <v>141</v>
      </c>
      <c r="AG144" s="76" t="s">
        <v>142</v>
      </c>
      <c r="AH144" s="76">
        <v>32</v>
      </c>
      <c r="AI144" s="81"/>
      <c r="AJ144" s="76"/>
      <c r="AK144" s="76"/>
      <c r="AL144" s="76"/>
      <c r="AM144" s="76"/>
    </row>
    <row r="145" s="2" customFormat="1" spans="1:39">
      <c r="A145" s="33">
        <f t="shared" si="6"/>
        <v>17</v>
      </c>
      <c r="B145" s="34"/>
      <c r="C145" s="33" t="s">
        <v>166</v>
      </c>
      <c r="D145" s="35" t="s">
        <v>167</v>
      </c>
      <c r="E145" s="33"/>
      <c r="F145" s="33" t="s">
        <v>153</v>
      </c>
      <c r="G145" s="33" t="s">
        <v>142</v>
      </c>
      <c r="H145" s="33">
        <v>32</v>
      </c>
      <c r="I145" s="45"/>
      <c r="J145" s="33"/>
      <c r="K145" s="33"/>
      <c r="L145" s="33"/>
      <c r="M145" s="33" t="s">
        <v>168</v>
      </c>
      <c r="X145" s="70"/>
      <c r="AA145" s="76">
        <f t="shared" si="5"/>
        <v>17</v>
      </c>
      <c r="AB145" s="77"/>
      <c r="AC145" s="76" t="s">
        <v>166</v>
      </c>
      <c r="AD145" s="78" t="s">
        <v>167</v>
      </c>
      <c r="AE145" s="76"/>
      <c r="AF145" s="76" t="s">
        <v>153</v>
      </c>
      <c r="AG145" s="76" t="s">
        <v>142</v>
      </c>
      <c r="AH145" s="76">
        <v>32</v>
      </c>
      <c r="AI145" s="81"/>
      <c r="AJ145" s="76"/>
      <c r="AK145" s="76"/>
      <c r="AL145" s="76"/>
      <c r="AM145" s="76" t="s">
        <v>1159</v>
      </c>
    </row>
    <row r="146" s="2" customFormat="1" spans="1:39">
      <c r="A146" s="33">
        <f t="shared" si="6"/>
        <v>18</v>
      </c>
      <c r="B146" s="34"/>
      <c r="C146" s="36" t="s">
        <v>170</v>
      </c>
      <c r="D146" s="35" t="s">
        <v>171</v>
      </c>
      <c r="E146" s="33"/>
      <c r="F146" s="33" t="s">
        <v>172</v>
      </c>
      <c r="G146" s="33" t="s">
        <v>173</v>
      </c>
      <c r="H146" s="33" t="s">
        <v>8</v>
      </c>
      <c r="I146" s="45" t="s">
        <v>22</v>
      </c>
      <c r="J146" s="33"/>
      <c r="K146" s="33"/>
      <c r="L146" s="33"/>
      <c r="M146" s="33"/>
      <c r="X146" s="70"/>
      <c r="AA146" s="76">
        <f t="shared" si="5"/>
        <v>18</v>
      </c>
      <c r="AB146" s="77"/>
      <c r="AC146" s="76" t="s">
        <v>351</v>
      </c>
      <c r="AD146" s="78" t="s">
        <v>171</v>
      </c>
      <c r="AE146" s="76"/>
      <c r="AF146" s="76" t="s">
        <v>172</v>
      </c>
      <c r="AG146" s="76" t="s">
        <v>173</v>
      </c>
      <c r="AH146" s="76" t="s">
        <v>8</v>
      </c>
      <c r="AI146" s="81" t="s">
        <v>22</v>
      </c>
      <c r="AJ146" s="76"/>
      <c r="AK146" s="76"/>
      <c r="AL146" s="76"/>
      <c r="AM146" s="76"/>
    </row>
    <row r="147" s="2" customFormat="1" spans="1:39">
      <c r="A147" s="33">
        <f t="shared" si="6"/>
        <v>19</v>
      </c>
      <c r="B147" s="34"/>
      <c r="C147" s="33" t="s">
        <v>174</v>
      </c>
      <c r="D147" s="35" t="s">
        <v>175</v>
      </c>
      <c r="E147" s="33"/>
      <c r="F147" s="33" t="s">
        <v>141</v>
      </c>
      <c r="G147" s="33" t="s">
        <v>142</v>
      </c>
      <c r="H147" s="33">
        <v>32</v>
      </c>
      <c r="I147" s="45"/>
      <c r="J147" s="33"/>
      <c r="K147" s="33"/>
      <c r="L147" s="33"/>
      <c r="M147" s="33"/>
      <c r="X147" s="70"/>
      <c r="AA147" s="76">
        <f t="shared" si="5"/>
        <v>19</v>
      </c>
      <c r="AB147" s="77"/>
      <c r="AC147" s="76" t="s">
        <v>174</v>
      </c>
      <c r="AD147" s="78" t="s">
        <v>175</v>
      </c>
      <c r="AE147" s="76"/>
      <c r="AF147" s="76" t="s">
        <v>141</v>
      </c>
      <c r="AG147" s="76" t="s">
        <v>142</v>
      </c>
      <c r="AH147" s="76">
        <v>32</v>
      </c>
      <c r="AI147" s="81"/>
      <c r="AJ147" s="76"/>
      <c r="AK147" s="76"/>
      <c r="AL147" s="76"/>
      <c r="AM147" s="76"/>
    </row>
    <row r="148" s="2" customFormat="1" ht="22.5" spans="1:39">
      <c r="A148" s="33">
        <f t="shared" si="6"/>
        <v>20</v>
      </c>
      <c r="B148" s="34"/>
      <c r="C148" s="33" t="s">
        <v>176</v>
      </c>
      <c r="D148" s="35" t="s">
        <v>177</v>
      </c>
      <c r="E148" s="33" t="s">
        <v>178</v>
      </c>
      <c r="F148" s="33" t="s">
        <v>153</v>
      </c>
      <c r="G148" s="33" t="s">
        <v>142</v>
      </c>
      <c r="H148" s="33">
        <v>32</v>
      </c>
      <c r="I148" s="45"/>
      <c r="J148" s="33"/>
      <c r="K148" s="33"/>
      <c r="L148" s="33"/>
      <c r="M148" s="33" t="s">
        <v>179</v>
      </c>
      <c r="X148" s="70"/>
      <c r="AA148" s="76">
        <f t="shared" si="5"/>
        <v>20</v>
      </c>
      <c r="AB148" s="77"/>
      <c r="AC148" s="76" t="s">
        <v>176</v>
      </c>
      <c r="AD148" s="78" t="s">
        <v>177</v>
      </c>
      <c r="AE148" s="76" t="s">
        <v>180</v>
      </c>
      <c r="AF148" s="76" t="s">
        <v>153</v>
      </c>
      <c r="AG148" s="76" t="s">
        <v>142</v>
      </c>
      <c r="AH148" s="76">
        <v>32</v>
      </c>
      <c r="AI148" s="81"/>
      <c r="AJ148" s="76"/>
      <c r="AK148" s="76"/>
      <c r="AL148" s="76"/>
      <c r="AM148" s="76" t="s">
        <v>1160</v>
      </c>
    </row>
    <row r="149" s="2" customFormat="1" spans="1:39">
      <c r="A149" s="33">
        <f t="shared" si="6"/>
        <v>21</v>
      </c>
      <c r="B149" s="34"/>
      <c r="C149" s="36" t="s">
        <v>182</v>
      </c>
      <c r="D149" s="35" t="s">
        <v>183</v>
      </c>
      <c r="E149" s="33"/>
      <c r="F149" s="33" t="s">
        <v>172</v>
      </c>
      <c r="G149" s="33" t="s">
        <v>173</v>
      </c>
      <c r="H149" s="33" t="s">
        <v>8</v>
      </c>
      <c r="I149" s="45" t="s">
        <v>22</v>
      </c>
      <c r="J149" s="33"/>
      <c r="K149" s="33"/>
      <c r="L149" s="33"/>
      <c r="M149" s="33"/>
      <c r="X149" s="70"/>
      <c r="AA149" s="76">
        <f t="shared" si="5"/>
        <v>21</v>
      </c>
      <c r="AB149" s="77"/>
      <c r="AC149" s="76" t="s">
        <v>353</v>
      </c>
      <c r="AD149" s="78" t="s">
        <v>183</v>
      </c>
      <c r="AE149" s="76"/>
      <c r="AF149" s="76" t="s">
        <v>172</v>
      </c>
      <c r="AG149" s="76" t="s">
        <v>173</v>
      </c>
      <c r="AH149" s="76" t="s">
        <v>8</v>
      </c>
      <c r="AI149" s="81" t="s">
        <v>22</v>
      </c>
      <c r="AJ149" s="76"/>
      <c r="AK149" s="76"/>
      <c r="AL149" s="76"/>
      <c r="AM149" s="76"/>
    </row>
    <row r="151" spans="1:35">
      <c r="A151" s="6"/>
      <c r="B151" s="7" t="s">
        <v>15</v>
      </c>
      <c r="C151" s="49" t="s">
        <v>1616</v>
      </c>
      <c r="D151" s="50"/>
      <c r="I151" s="37"/>
      <c r="AA151" s="6"/>
      <c r="AB151" s="7" t="s">
        <v>86</v>
      </c>
      <c r="AC151" s="49" t="s">
        <v>1616</v>
      </c>
      <c r="AD151" s="50"/>
      <c r="AI151" s="37"/>
    </row>
    <row r="152" spans="1:39">
      <c r="A152" s="10"/>
      <c r="B152" s="11" t="s">
        <v>124</v>
      </c>
      <c r="C152" s="49" t="str">
        <f>テーブル一覧!E25</f>
        <v>T_SOD_IIJ_ORDER_SIM</v>
      </c>
      <c r="D152" s="50"/>
      <c r="E152" s="2" t="s">
        <v>1617</v>
      </c>
      <c r="F152" s="3"/>
      <c r="G152" s="3"/>
      <c r="H152" s="3"/>
      <c r="I152" s="37"/>
      <c r="J152" s="3"/>
      <c r="K152" s="3"/>
      <c r="L152" s="3"/>
      <c r="M152" s="38"/>
      <c r="AA152" s="10"/>
      <c r="AB152" s="11" t="s">
        <v>125</v>
      </c>
      <c r="AC152" s="49" t="e">
        <f>[1]テーブル一覧!AE25</f>
        <v>#REF!</v>
      </c>
      <c r="AD152" s="50"/>
      <c r="AE152" s="2" t="s">
        <v>1617</v>
      </c>
      <c r="AF152" s="3"/>
      <c r="AG152" s="3"/>
      <c r="AH152" s="3"/>
      <c r="AI152" s="37"/>
      <c r="AJ152" s="3"/>
      <c r="AK152" s="3"/>
      <c r="AL152" s="3"/>
      <c r="AM152" s="38"/>
    </row>
    <row r="153" ht="22.5" spans="1:39">
      <c r="A153" s="12" t="s">
        <v>0</v>
      </c>
      <c r="B153" s="13"/>
      <c r="C153" s="14" t="s">
        <v>126</v>
      </c>
      <c r="D153" s="15" t="s">
        <v>15</v>
      </c>
      <c r="E153" s="14" t="s">
        <v>16</v>
      </c>
      <c r="F153" s="16" t="s">
        <v>127</v>
      </c>
      <c r="G153" s="26" t="s">
        <v>127</v>
      </c>
      <c r="H153" s="14" t="s">
        <v>128</v>
      </c>
      <c r="I153" s="39" t="s">
        <v>129</v>
      </c>
      <c r="J153" s="14" t="s">
        <v>130</v>
      </c>
      <c r="K153" s="14" t="s">
        <v>131</v>
      </c>
      <c r="L153" s="14" t="s">
        <v>132</v>
      </c>
      <c r="M153" s="14" t="s">
        <v>6</v>
      </c>
      <c r="AA153" s="12" t="s">
        <v>0</v>
      </c>
      <c r="AB153" s="13"/>
      <c r="AC153" s="14" t="s">
        <v>133</v>
      </c>
      <c r="AD153" s="15" t="s">
        <v>86</v>
      </c>
      <c r="AE153" s="14" t="s">
        <v>87</v>
      </c>
      <c r="AF153" s="16" t="s">
        <v>134</v>
      </c>
      <c r="AG153" s="14" t="s">
        <v>134</v>
      </c>
      <c r="AH153" s="14" t="s">
        <v>128</v>
      </c>
      <c r="AI153" s="39" t="s">
        <v>135</v>
      </c>
      <c r="AJ153" s="14" t="s">
        <v>130</v>
      </c>
      <c r="AK153" s="14" t="s">
        <v>136</v>
      </c>
      <c r="AL153" s="14" t="s">
        <v>132</v>
      </c>
      <c r="AM153" s="14" t="s">
        <v>137</v>
      </c>
    </row>
    <row r="154" s="2" customFormat="1" ht="33.75" spans="1:43">
      <c r="A154" s="32">
        <f>A152+1</f>
        <v>1</v>
      </c>
      <c r="B154" s="51"/>
      <c r="C154" s="51" t="s">
        <v>420</v>
      </c>
      <c r="D154" s="52" t="s">
        <v>560</v>
      </c>
      <c r="E154" s="32" t="s">
        <v>1445</v>
      </c>
      <c r="F154" s="32" t="s">
        <v>141</v>
      </c>
      <c r="G154" s="31" t="s">
        <v>142</v>
      </c>
      <c r="H154" s="32">
        <v>16</v>
      </c>
      <c r="I154" s="64" t="s">
        <v>22</v>
      </c>
      <c r="J154" s="32"/>
      <c r="K154" s="32"/>
      <c r="L154" s="32" t="s">
        <v>188</v>
      </c>
      <c r="M154" s="32" t="s">
        <v>1618</v>
      </c>
      <c r="Q154" s="3"/>
      <c r="X154" s="70"/>
      <c r="AA154" s="32">
        <f>AA152+1</f>
        <v>1</v>
      </c>
      <c r="AB154" s="51"/>
      <c r="AC154" s="51" t="s">
        <v>420</v>
      </c>
      <c r="AD154" s="52" t="s">
        <v>560</v>
      </c>
      <c r="AE154" s="32" t="s">
        <v>1446</v>
      </c>
      <c r="AF154" s="32" t="s">
        <v>141</v>
      </c>
      <c r="AG154" s="31" t="s">
        <v>142</v>
      </c>
      <c r="AH154" s="32">
        <v>16</v>
      </c>
      <c r="AI154" s="64" t="s">
        <v>22</v>
      </c>
      <c r="AJ154" s="32"/>
      <c r="AK154" s="32"/>
      <c r="AL154" s="32" t="s">
        <v>188</v>
      </c>
      <c r="AM154" s="32" t="s">
        <v>1619</v>
      </c>
      <c r="AQ154" s="3"/>
    </row>
    <row r="155" s="2" customFormat="1" ht="67.5" spans="1:43">
      <c r="A155" s="32">
        <f>A154+1</f>
        <v>2</v>
      </c>
      <c r="B155" s="51"/>
      <c r="C155" s="32" t="s">
        <v>344</v>
      </c>
      <c r="D155" s="52" t="s">
        <v>373</v>
      </c>
      <c r="E155" s="32" t="s">
        <v>1620</v>
      </c>
      <c r="F155" s="32" t="s">
        <v>153</v>
      </c>
      <c r="G155" s="31" t="s">
        <v>254</v>
      </c>
      <c r="H155" s="32" t="s">
        <v>8</v>
      </c>
      <c r="I155" s="64" t="s">
        <v>22</v>
      </c>
      <c r="J155" s="32">
        <v>0</v>
      </c>
      <c r="K155" s="32"/>
      <c r="L155" s="32" t="s">
        <v>315</v>
      </c>
      <c r="M155" s="32" t="s">
        <v>1621</v>
      </c>
      <c r="Q155" s="3"/>
      <c r="X155" s="70"/>
      <c r="AA155" s="32">
        <f t="shared" ref="AA155:AA172" si="7">AA154+1</f>
        <v>2</v>
      </c>
      <c r="AB155" s="51"/>
      <c r="AC155" s="32" t="s">
        <v>344</v>
      </c>
      <c r="AD155" s="52" t="s">
        <v>373</v>
      </c>
      <c r="AE155" s="32" t="s">
        <v>1620</v>
      </c>
      <c r="AF155" s="32" t="s">
        <v>153</v>
      </c>
      <c r="AG155" s="31" t="s">
        <v>254</v>
      </c>
      <c r="AH155" s="32" t="s">
        <v>8</v>
      </c>
      <c r="AI155" s="64" t="s">
        <v>22</v>
      </c>
      <c r="AJ155" s="32">
        <v>0</v>
      </c>
      <c r="AK155" s="32"/>
      <c r="AL155" s="32" t="s">
        <v>315</v>
      </c>
      <c r="AM155" s="32" t="s">
        <v>1622</v>
      </c>
      <c r="AQ155" s="3"/>
    </row>
    <row r="156" s="2" customFormat="1" spans="1:43">
      <c r="A156" s="32">
        <f t="shared" ref="A156:A172" si="8">A155+1</f>
        <v>3</v>
      </c>
      <c r="B156" s="51"/>
      <c r="C156" s="32" t="s">
        <v>1166</v>
      </c>
      <c r="D156" s="52" t="s">
        <v>1167</v>
      </c>
      <c r="E156" s="32"/>
      <c r="F156" s="32" t="s">
        <v>153</v>
      </c>
      <c r="G156" s="31" t="s">
        <v>254</v>
      </c>
      <c r="H156" s="32" t="s">
        <v>8</v>
      </c>
      <c r="I156" s="64" t="s">
        <v>22</v>
      </c>
      <c r="J156" s="32">
        <v>0</v>
      </c>
      <c r="K156" s="32"/>
      <c r="L156" s="32"/>
      <c r="M156" s="32"/>
      <c r="Q156" s="3"/>
      <c r="X156" s="70"/>
      <c r="AA156" s="32">
        <f t="shared" si="7"/>
        <v>3</v>
      </c>
      <c r="AB156" s="51"/>
      <c r="AC156" s="32" t="s">
        <v>1166</v>
      </c>
      <c r="AD156" s="52" t="s">
        <v>1167</v>
      </c>
      <c r="AE156" s="32"/>
      <c r="AF156" s="32" t="s">
        <v>153</v>
      </c>
      <c r="AG156" s="31" t="s">
        <v>254</v>
      </c>
      <c r="AH156" s="32" t="s">
        <v>8</v>
      </c>
      <c r="AI156" s="64" t="s">
        <v>22</v>
      </c>
      <c r="AJ156" s="32">
        <v>0</v>
      </c>
      <c r="AK156" s="32"/>
      <c r="AL156" s="32"/>
      <c r="AM156" s="32"/>
      <c r="AQ156" s="3"/>
    </row>
    <row r="157" s="2" customFormat="1" spans="1:43">
      <c r="A157" s="32">
        <f t="shared" si="8"/>
        <v>4</v>
      </c>
      <c r="B157" s="51"/>
      <c r="C157" s="51" t="s">
        <v>569</v>
      </c>
      <c r="D157" s="52" t="s">
        <v>1451</v>
      </c>
      <c r="E157" s="32"/>
      <c r="F157" s="32" t="s">
        <v>141</v>
      </c>
      <c r="G157" s="31" t="s">
        <v>142</v>
      </c>
      <c r="H157" s="32">
        <v>24</v>
      </c>
      <c r="I157" s="64"/>
      <c r="J157" s="32"/>
      <c r="K157" s="32"/>
      <c r="L157" s="32"/>
      <c r="M157" s="32" t="s">
        <v>1623</v>
      </c>
      <c r="Q157" s="3"/>
      <c r="X157" s="70"/>
      <c r="AA157" s="32">
        <f t="shared" si="7"/>
        <v>4</v>
      </c>
      <c r="AB157" s="51"/>
      <c r="AC157" s="51" t="s">
        <v>569</v>
      </c>
      <c r="AD157" s="52" t="s">
        <v>1451</v>
      </c>
      <c r="AE157" s="32"/>
      <c r="AF157" s="32" t="s">
        <v>141</v>
      </c>
      <c r="AG157" s="31" t="s">
        <v>142</v>
      </c>
      <c r="AH157" s="32">
        <v>24</v>
      </c>
      <c r="AI157" s="64"/>
      <c r="AJ157" s="32"/>
      <c r="AK157" s="32"/>
      <c r="AL157" s="32"/>
      <c r="AM157" s="32" t="s">
        <v>1624</v>
      </c>
      <c r="AQ157" s="3"/>
    </row>
    <row r="158" s="2" customFormat="1" ht="67.5" spans="1:43">
      <c r="A158" s="32">
        <f t="shared" si="8"/>
        <v>5</v>
      </c>
      <c r="B158" s="51"/>
      <c r="C158" s="51" t="s">
        <v>446</v>
      </c>
      <c r="D158" s="52" t="s">
        <v>447</v>
      </c>
      <c r="E158" s="32" t="s">
        <v>1625</v>
      </c>
      <c r="F158" s="32" t="s">
        <v>153</v>
      </c>
      <c r="G158" s="31" t="s">
        <v>254</v>
      </c>
      <c r="H158" s="32" t="s">
        <v>8</v>
      </c>
      <c r="I158" s="64"/>
      <c r="J158" s="32"/>
      <c r="K158" s="32"/>
      <c r="L158" s="32"/>
      <c r="M158" s="32" t="s">
        <v>1623</v>
      </c>
      <c r="Q158" s="3"/>
      <c r="X158" s="70"/>
      <c r="AA158" s="32">
        <f t="shared" si="7"/>
        <v>5</v>
      </c>
      <c r="AB158" s="51"/>
      <c r="AC158" s="51" t="s">
        <v>446</v>
      </c>
      <c r="AD158" s="52" t="s">
        <v>447</v>
      </c>
      <c r="AE158" s="32" t="s">
        <v>1626</v>
      </c>
      <c r="AF158" s="32" t="s">
        <v>153</v>
      </c>
      <c r="AG158" s="31" t="s">
        <v>254</v>
      </c>
      <c r="AH158" s="32" t="s">
        <v>8</v>
      </c>
      <c r="AI158" s="64"/>
      <c r="AJ158" s="32"/>
      <c r="AK158" s="32"/>
      <c r="AL158" s="32"/>
      <c r="AM158" s="32" t="s">
        <v>1624</v>
      </c>
      <c r="AQ158" s="3"/>
    </row>
    <row r="159" s="2" customFormat="1" ht="33.75" spans="1:43">
      <c r="A159" s="32">
        <f t="shared" si="8"/>
        <v>6</v>
      </c>
      <c r="B159" s="51"/>
      <c r="C159" s="51" t="s">
        <v>1627</v>
      </c>
      <c r="D159" s="52" t="s">
        <v>1628</v>
      </c>
      <c r="E159" s="32" t="s">
        <v>1629</v>
      </c>
      <c r="F159" s="32" t="s">
        <v>141</v>
      </c>
      <c r="G159" s="31" t="s">
        <v>142</v>
      </c>
      <c r="H159" s="32">
        <v>8</v>
      </c>
      <c r="I159" s="64"/>
      <c r="J159" s="32"/>
      <c r="K159" s="32"/>
      <c r="L159" s="32"/>
      <c r="M159" s="32" t="s">
        <v>1630</v>
      </c>
      <c r="Q159" s="3"/>
      <c r="X159" s="70"/>
      <c r="AA159" s="32">
        <f t="shared" si="7"/>
        <v>6</v>
      </c>
      <c r="AB159" s="51"/>
      <c r="AC159" s="51" t="s">
        <v>1627</v>
      </c>
      <c r="AD159" s="52" t="s">
        <v>1628</v>
      </c>
      <c r="AE159" s="32" t="s">
        <v>1631</v>
      </c>
      <c r="AF159" s="32" t="s">
        <v>141</v>
      </c>
      <c r="AG159" s="31" t="s">
        <v>142</v>
      </c>
      <c r="AH159" s="32">
        <v>8</v>
      </c>
      <c r="AI159" s="64"/>
      <c r="AJ159" s="32"/>
      <c r="AK159" s="32"/>
      <c r="AL159" s="32"/>
      <c r="AM159" s="32" t="s">
        <v>1632</v>
      </c>
      <c r="AQ159" s="3"/>
    </row>
    <row r="160" s="2" customFormat="1" ht="22.5" spans="1:43">
      <c r="A160" s="32">
        <f t="shared" si="8"/>
        <v>7</v>
      </c>
      <c r="B160" s="51"/>
      <c r="C160" s="51" t="s">
        <v>437</v>
      </c>
      <c r="D160" s="52" t="s">
        <v>1633</v>
      </c>
      <c r="E160" s="32" t="s">
        <v>1634</v>
      </c>
      <c r="F160" s="32" t="s">
        <v>141</v>
      </c>
      <c r="G160" s="31" t="s">
        <v>142</v>
      </c>
      <c r="H160" s="32">
        <v>8</v>
      </c>
      <c r="I160" s="64"/>
      <c r="J160" s="32"/>
      <c r="K160" s="32"/>
      <c r="L160" s="32"/>
      <c r="M160" s="32" t="s">
        <v>1635</v>
      </c>
      <c r="Q160" s="3"/>
      <c r="X160" s="70"/>
      <c r="AA160" s="32">
        <f t="shared" si="7"/>
        <v>7</v>
      </c>
      <c r="AB160" s="51"/>
      <c r="AC160" s="51" t="s">
        <v>437</v>
      </c>
      <c r="AD160" s="52" t="s">
        <v>1633</v>
      </c>
      <c r="AE160" s="32" t="s">
        <v>1636</v>
      </c>
      <c r="AF160" s="32" t="s">
        <v>141</v>
      </c>
      <c r="AG160" s="31" t="s">
        <v>142</v>
      </c>
      <c r="AH160" s="32">
        <v>8</v>
      </c>
      <c r="AI160" s="64"/>
      <c r="AJ160" s="32"/>
      <c r="AK160" s="32"/>
      <c r="AL160" s="32"/>
      <c r="AM160" s="32" t="s">
        <v>1637</v>
      </c>
      <c r="AQ160" s="3"/>
    </row>
    <row r="161" s="2" customFormat="1" spans="1:43">
      <c r="A161" s="32">
        <f t="shared" si="8"/>
        <v>8</v>
      </c>
      <c r="B161" s="51"/>
      <c r="C161" s="32" t="s">
        <v>1638</v>
      </c>
      <c r="D161" s="32" t="s">
        <v>1639</v>
      </c>
      <c r="E161" s="32"/>
      <c r="F161" s="32" t="s">
        <v>172</v>
      </c>
      <c r="G161" s="31" t="s">
        <v>173</v>
      </c>
      <c r="H161" s="32" t="s">
        <v>8</v>
      </c>
      <c r="I161" s="64"/>
      <c r="J161" s="32"/>
      <c r="K161" s="32"/>
      <c r="L161" s="32"/>
      <c r="M161" s="32"/>
      <c r="Q161" s="3"/>
      <c r="X161" s="70"/>
      <c r="AA161" s="32">
        <f t="shared" si="7"/>
        <v>8</v>
      </c>
      <c r="AB161" s="51"/>
      <c r="AC161" s="32" t="s">
        <v>1638</v>
      </c>
      <c r="AD161" s="32" t="s">
        <v>1639</v>
      </c>
      <c r="AE161" s="32"/>
      <c r="AF161" s="32" t="s">
        <v>172</v>
      </c>
      <c r="AG161" s="31" t="s">
        <v>173</v>
      </c>
      <c r="AH161" s="32" t="s">
        <v>8</v>
      </c>
      <c r="AI161" s="64"/>
      <c r="AJ161" s="32"/>
      <c r="AK161" s="32"/>
      <c r="AL161" s="32"/>
      <c r="AM161" s="32"/>
      <c r="AQ161" s="3"/>
    </row>
    <row r="162" s="2" customFormat="1" spans="1:43">
      <c r="A162" s="32">
        <f t="shared" si="8"/>
        <v>9</v>
      </c>
      <c r="B162" s="51"/>
      <c r="C162" s="32" t="s">
        <v>1640</v>
      </c>
      <c r="D162" s="32" t="s">
        <v>1641</v>
      </c>
      <c r="E162" s="32"/>
      <c r="F162" s="32" t="s">
        <v>172</v>
      </c>
      <c r="G162" s="31" t="s">
        <v>173</v>
      </c>
      <c r="H162" s="32" t="s">
        <v>8</v>
      </c>
      <c r="I162" s="64"/>
      <c r="J162" s="32"/>
      <c r="K162" s="32"/>
      <c r="L162" s="32"/>
      <c r="M162" s="32"/>
      <c r="Q162" s="3"/>
      <c r="X162" s="70"/>
      <c r="AA162" s="32">
        <f t="shared" si="7"/>
        <v>9</v>
      </c>
      <c r="AB162" s="51"/>
      <c r="AC162" s="32" t="s">
        <v>1640</v>
      </c>
      <c r="AD162" s="32" t="s">
        <v>1641</v>
      </c>
      <c r="AE162" s="32"/>
      <c r="AF162" s="32" t="s">
        <v>172</v>
      </c>
      <c r="AG162" s="31" t="s">
        <v>173</v>
      </c>
      <c r="AH162" s="32" t="s">
        <v>8</v>
      </c>
      <c r="AI162" s="64"/>
      <c r="AJ162" s="32"/>
      <c r="AK162" s="32"/>
      <c r="AL162" s="32"/>
      <c r="AM162" s="32"/>
      <c r="AQ162" s="3"/>
    </row>
    <row r="163" s="2" customFormat="1" spans="1:43">
      <c r="A163" s="32">
        <f t="shared" si="8"/>
        <v>10</v>
      </c>
      <c r="B163" s="51"/>
      <c r="C163" s="32" t="s">
        <v>1153</v>
      </c>
      <c r="D163" s="32" t="s">
        <v>1642</v>
      </c>
      <c r="E163" s="32" t="s">
        <v>1643</v>
      </c>
      <c r="F163" s="32" t="s">
        <v>172</v>
      </c>
      <c r="G163" s="31" t="s">
        <v>173</v>
      </c>
      <c r="H163" s="32" t="s">
        <v>8</v>
      </c>
      <c r="I163" s="64"/>
      <c r="J163" s="32"/>
      <c r="K163" s="32"/>
      <c r="L163" s="32"/>
      <c r="M163" s="32"/>
      <c r="Q163" s="3"/>
      <c r="X163" s="70"/>
      <c r="AA163" s="32">
        <f t="shared" si="7"/>
        <v>10</v>
      </c>
      <c r="AB163" s="51"/>
      <c r="AC163" s="32" t="s">
        <v>1153</v>
      </c>
      <c r="AD163" s="32" t="s">
        <v>1642</v>
      </c>
      <c r="AE163" s="32" t="s">
        <v>1644</v>
      </c>
      <c r="AF163" s="32" t="s">
        <v>172</v>
      </c>
      <c r="AG163" s="31" t="s">
        <v>173</v>
      </c>
      <c r="AH163" s="32" t="s">
        <v>8</v>
      </c>
      <c r="AI163" s="64"/>
      <c r="AJ163" s="32"/>
      <c r="AK163" s="32"/>
      <c r="AL163" s="32"/>
      <c r="AM163" s="32"/>
      <c r="AQ163" s="3"/>
    </row>
    <row r="164" s="2" customFormat="1" spans="1:43">
      <c r="A164" s="32">
        <f t="shared" si="8"/>
        <v>11</v>
      </c>
      <c r="B164" s="51"/>
      <c r="C164" s="32" t="s">
        <v>1645</v>
      </c>
      <c r="D164" s="32" t="s">
        <v>1266</v>
      </c>
      <c r="E164" s="32" t="s">
        <v>1646</v>
      </c>
      <c r="F164" s="32" t="s">
        <v>141</v>
      </c>
      <c r="G164" s="31" t="s">
        <v>142</v>
      </c>
      <c r="H164" s="32">
        <v>64</v>
      </c>
      <c r="I164" s="64"/>
      <c r="J164" s="32"/>
      <c r="K164" s="32"/>
      <c r="L164" s="32"/>
      <c r="M164" s="32"/>
      <c r="Q164" s="3"/>
      <c r="X164" s="70"/>
      <c r="AA164" s="32">
        <f t="shared" si="7"/>
        <v>11</v>
      </c>
      <c r="AB164" s="51"/>
      <c r="AC164" s="32" t="s">
        <v>1645</v>
      </c>
      <c r="AD164" s="32" t="s">
        <v>1266</v>
      </c>
      <c r="AE164" s="32" t="s">
        <v>1647</v>
      </c>
      <c r="AF164" s="32" t="s">
        <v>141</v>
      </c>
      <c r="AG164" s="31" t="s">
        <v>142</v>
      </c>
      <c r="AH164" s="32">
        <v>64</v>
      </c>
      <c r="AI164" s="64"/>
      <c r="AJ164" s="32"/>
      <c r="AK164" s="32"/>
      <c r="AL164" s="32"/>
      <c r="AM164" s="32"/>
      <c r="AQ164" s="3"/>
    </row>
    <row r="165" s="2" customFormat="1" ht="22.5" spans="1:39">
      <c r="A165" s="33">
        <f t="shared" si="8"/>
        <v>12</v>
      </c>
      <c r="B165" s="34"/>
      <c r="C165" s="33" t="s">
        <v>150</v>
      </c>
      <c r="D165" s="35" t="s">
        <v>151</v>
      </c>
      <c r="E165" s="33" t="s">
        <v>152</v>
      </c>
      <c r="F165" s="33" t="s">
        <v>153</v>
      </c>
      <c r="G165" s="33" t="s">
        <v>154</v>
      </c>
      <c r="H165" s="33" t="s">
        <v>8</v>
      </c>
      <c r="I165" s="45" t="s">
        <v>22</v>
      </c>
      <c r="J165" s="225" t="s">
        <v>155</v>
      </c>
      <c r="K165" s="33"/>
      <c r="L165" s="33"/>
      <c r="M165" s="33" t="s">
        <v>156</v>
      </c>
      <c r="X165" s="70"/>
      <c r="AA165" s="76">
        <f t="shared" si="7"/>
        <v>12</v>
      </c>
      <c r="AB165" s="77"/>
      <c r="AC165" s="76" t="s">
        <v>150</v>
      </c>
      <c r="AD165" s="78" t="s">
        <v>151</v>
      </c>
      <c r="AE165" s="76" t="s">
        <v>644</v>
      </c>
      <c r="AF165" s="76" t="s">
        <v>153</v>
      </c>
      <c r="AG165" s="76" t="s">
        <v>154</v>
      </c>
      <c r="AH165" s="76" t="s">
        <v>8</v>
      </c>
      <c r="AI165" s="81" t="s">
        <v>22</v>
      </c>
      <c r="AJ165" s="230" t="s">
        <v>155</v>
      </c>
      <c r="AK165" s="76"/>
      <c r="AL165" s="76"/>
      <c r="AM165" s="76" t="s">
        <v>617</v>
      </c>
    </row>
    <row r="166" s="2" customFormat="1" ht="22.5" spans="1:39">
      <c r="A166" s="33">
        <f t="shared" si="8"/>
        <v>13</v>
      </c>
      <c r="B166" s="34"/>
      <c r="C166" s="33" t="s">
        <v>159</v>
      </c>
      <c r="D166" s="35" t="s">
        <v>160</v>
      </c>
      <c r="E166" s="33" t="s">
        <v>161</v>
      </c>
      <c r="F166" s="33" t="s">
        <v>153</v>
      </c>
      <c r="G166" s="33" t="s">
        <v>162</v>
      </c>
      <c r="H166" s="33"/>
      <c r="I166" s="45" t="s">
        <v>22</v>
      </c>
      <c r="J166" s="33">
        <v>0</v>
      </c>
      <c r="K166" s="33"/>
      <c r="L166" s="33"/>
      <c r="M166" s="33"/>
      <c r="X166" s="70"/>
      <c r="AA166" s="76">
        <f t="shared" si="7"/>
        <v>13</v>
      </c>
      <c r="AB166" s="77"/>
      <c r="AC166" s="76" t="s">
        <v>159</v>
      </c>
      <c r="AD166" s="78" t="s">
        <v>160</v>
      </c>
      <c r="AE166" s="76" t="s">
        <v>163</v>
      </c>
      <c r="AF166" s="76" t="s">
        <v>153</v>
      </c>
      <c r="AG166" s="76" t="s">
        <v>162</v>
      </c>
      <c r="AH166" s="76"/>
      <c r="AI166" s="81" t="s">
        <v>22</v>
      </c>
      <c r="AJ166" s="76">
        <v>0</v>
      </c>
      <c r="AK166" s="76"/>
      <c r="AL166" s="76"/>
      <c r="AM166" s="76"/>
    </row>
    <row r="167" s="2" customFormat="1" spans="1:39">
      <c r="A167" s="33">
        <f t="shared" si="8"/>
        <v>14</v>
      </c>
      <c r="B167" s="34"/>
      <c r="C167" s="33" t="s">
        <v>164</v>
      </c>
      <c r="D167" s="35" t="s">
        <v>165</v>
      </c>
      <c r="E167" s="33"/>
      <c r="F167" s="33" t="s">
        <v>141</v>
      </c>
      <c r="G167" s="33" t="s">
        <v>142</v>
      </c>
      <c r="H167" s="33">
        <v>32</v>
      </c>
      <c r="I167" s="45"/>
      <c r="J167" s="33"/>
      <c r="K167" s="33"/>
      <c r="L167" s="33"/>
      <c r="M167" s="33"/>
      <c r="X167" s="70"/>
      <c r="AA167" s="76">
        <f t="shared" si="7"/>
        <v>14</v>
      </c>
      <c r="AB167" s="77"/>
      <c r="AC167" s="76" t="s">
        <v>164</v>
      </c>
      <c r="AD167" s="78" t="s">
        <v>165</v>
      </c>
      <c r="AE167" s="76"/>
      <c r="AF167" s="76" t="s">
        <v>141</v>
      </c>
      <c r="AG167" s="76" t="s">
        <v>142</v>
      </c>
      <c r="AH167" s="76">
        <v>32</v>
      </c>
      <c r="AI167" s="81"/>
      <c r="AJ167" s="76"/>
      <c r="AK167" s="76"/>
      <c r="AL167" s="76"/>
      <c r="AM167" s="76"/>
    </row>
    <row r="168" s="2" customFormat="1" spans="1:39">
      <c r="A168" s="33">
        <f t="shared" si="8"/>
        <v>15</v>
      </c>
      <c r="B168" s="34"/>
      <c r="C168" s="33" t="s">
        <v>166</v>
      </c>
      <c r="D168" s="35" t="s">
        <v>167</v>
      </c>
      <c r="E168" s="33"/>
      <c r="F168" s="33" t="s">
        <v>153</v>
      </c>
      <c r="G168" s="33" t="s">
        <v>142</v>
      </c>
      <c r="H168" s="33">
        <v>32</v>
      </c>
      <c r="I168" s="45"/>
      <c r="J168" s="33"/>
      <c r="K168" s="33"/>
      <c r="L168" s="33"/>
      <c r="M168" s="33" t="s">
        <v>168</v>
      </c>
      <c r="X168" s="70"/>
      <c r="AA168" s="76">
        <f t="shared" si="7"/>
        <v>15</v>
      </c>
      <c r="AB168" s="77"/>
      <c r="AC168" s="76" t="s">
        <v>166</v>
      </c>
      <c r="AD168" s="78" t="s">
        <v>167</v>
      </c>
      <c r="AE168" s="76"/>
      <c r="AF168" s="76" t="s">
        <v>153</v>
      </c>
      <c r="AG168" s="76" t="s">
        <v>142</v>
      </c>
      <c r="AH168" s="76">
        <v>32</v>
      </c>
      <c r="AI168" s="81"/>
      <c r="AJ168" s="76"/>
      <c r="AK168" s="76"/>
      <c r="AL168" s="76"/>
      <c r="AM168" s="76" t="s">
        <v>1159</v>
      </c>
    </row>
    <row r="169" s="2" customFormat="1" spans="1:39">
      <c r="A169" s="33">
        <f t="shared" si="8"/>
        <v>16</v>
      </c>
      <c r="B169" s="34"/>
      <c r="C169" s="36" t="s">
        <v>170</v>
      </c>
      <c r="D169" s="35" t="s">
        <v>171</v>
      </c>
      <c r="E169" s="33"/>
      <c r="F169" s="33" t="s">
        <v>172</v>
      </c>
      <c r="G169" s="33" t="s">
        <v>173</v>
      </c>
      <c r="H169" s="33" t="s">
        <v>8</v>
      </c>
      <c r="I169" s="45" t="s">
        <v>22</v>
      </c>
      <c r="J169" s="33"/>
      <c r="K169" s="33"/>
      <c r="L169" s="33"/>
      <c r="M169" s="33"/>
      <c r="X169" s="70"/>
      <c r="AA169" s="76">
        <f t="shared" si="7"/>
        <v>16</v>
      </c>
      <c r="AB169" s="77"/>
      <c r="AC169" s="76" t="s">
        <v>351</v>
      </c>
      <c r="AD169" s="78" t="s">
        <v>171</v>
      </c>
      <c r="AE169" s="76"/>
      <c r="AF169" s="76" t="s">
        <v>172</v>
      </c>
      <c r="AG169" s="76" t="s">
        <v>173</v>
      </c>
      <c r="AH169" s="76" t="s">
        <v>8</v>
      </c>
      <c r="AI169" s="81" t="s">
        <v>22</v>
      </c>
      <c r="AJ169" s="76"/>
      <c r="AK169" s="76"/>
      <c r="AL169" s="76"/>
      <c r="AM169" s="76"/>
    </row>
    <row r="170" s="2" customFormat="1" spans="1:39">
      <c r="A170" s="33">
        <f t="shared" si="8"/>
        <v>17</v>
      </c>
      <c r="B170" s="34"/>
      <c r="C170" s="33" t="s">
        <v>174</v>
      </c>
      <c r="D170" s="35" t="s">
        <v>175</v>
      </c>
      <c r="E170" s="33"/>
      <c r="F170" s="33" t="s">
        <v>141</v>
      </c>
      <c r="G170" s="33" t="s">
        <v>142</v>
      </c>
      <c r="H170" s="33">
        <v>32</v>
      </c>
      <c r="I170" s="45"/>
      <c r="J170" s="33"/>
      <c r="K170" s="33"/>
      <c r="L170" s="33"/>
      <c r="M170" s="33"/>
      <c r="X170" s="70"/>
      <c r="AA170" s="76">
        <f t="shared" si="7"/>
        <v>17</v>
      </c>
      <c r="AB170" s="77"/>
      <c r="AC170" s="76" t="s">
        <v>174</v>
      </c>
      <c r="AD170" s="78" t="s">
        <v>175</v>
      </c>
      <c r="AE170" s="76"/>
      <c r="AF170" s="76" t="s">
        <v>141</v>
      </c>
      <c r="AG170" s="76" t="s">
        <v>142</v>
      </c>
      <c r="AH170" s="76">
        <v>32</v>
      </c>
      <c r="AI170" s="81"/>
      <c r="AJ170" s="76"/>
      <c r="AK170" s="76"/>
      <c r="AL170" s="76"/>
      <c r="AM170" s="76"/>
    </row>
    <row r="171" s="2" customFormat="1" ht="22.5" spans="1:39">
      <c r="A171" s="33">
        <f t="shared" si="8"/>
        <v>18</v>
      </c>
      <c r="B171" s="34"/>
      <c r="C171" s="33" t="s">
        <v>176</v>
      </c>
      <c r="D171" s="35" t="s">
        <v>177</v>
      </c>
      <c r="E171" s="33" t="s">
        <v>178</v>
      </c>
      <c r="F171" s="33" t="s">
        <v>153</v>
      </c>
      <c r="G171" s="33" t="s">
        <v>142</v>
      </c>
      <c r="H171" s="33">
        <v>32</v>
      </c>
      <c r="I171" s="45"/>
      <c r="J171" s="33"/>
      <c r="K171" s="33"/>
      <c r="L171" s="33"/>
      <c r="M171" s="33" t="s">
        <v>179</v>
      </c>
      <c r="X171" s="70"/>
      <c r="AA171" s="76">
        <f t="shared" si="7"/>
        <v>18</v>
      </c>
      <c r="AB171" s="77"/>
      <c r="AC171" s="76" t="s">
        <v>176</v>
      </c>
      <c r="AD171" s="78" t="s">
        <v>177</v>
      </c>
      <c r="AE171" s="76" t="s">
        <v>180</v>
      </c>
      <c r="AF171" s="76" t="s">
        <v>153</v>
      </c>
      <c r="AG171" s="76" t="s">
        <v>142</v>
      </c>
      <c r="AH171" s="76">
        <v>32</v>
      </c>
      <c r="AI171" s="81"/>
      <c r="AJ171" s="76"/>
      <c r="AK171" s="76"/>
      <c r="AL171" s="76"/>
      <c r="AM171" s="76" t="s">
        <v>1160</v>
      </c>
    </row>
    <row r="172" s="2" customFormat="1" spans="1:39">
      <c r="A172" s="33">
        <f t="shared" si="8"/>
        <v>19</v>
      </c>
      <c r="B172" s="34"/>
      <c r="C172" s="36" t="s">
        <v>182</v>
      </c>
      <c r="D172" s="35" t="s">
        <v>183</v>
      </c>
      <c r="E172" s="33"/>
      <c r="F172" s="33" t="s">
        <v>172</v>
      </c>
      <c r="G172" s="33" t="s">
        <v>173</v>
      </c>
      <c r="H172" s="33" t="s">
        <v>8</v>
      </c>
      <c r="I172" s="45" t="s">
        <v>22</v>
      </c>
      <c r="J172" s="33"/>
      <c r="K172" s="33"/>
      <c r="L172" s="33"/>
      <c r="M172" s="33"/>
      <c r="X172" s="70"/>
      <c r="AA172" s="76">
        <f t="shared" si="7"/>
        <v>19</v>
      </c>
      <c r="AB172" s="77"/>
      <c r="AC172" s="76" t="s">
        <v>353</v>
      </c>
      <c r="AD172" s="78" t="s">
        <v>183</v>
      </c>
      <c r="AE172" s="76"/>
      <c r="AF172" s="76" t="s">
        <v>172</v>
      </c>
      <c r="AG172" s="76" t="s">
        <v>173</v>
      </c>
      <c r="AH172" s="76" t="s">
        <v>8</v>
      </c>
      <c r="AI172" s="81" t="s">
        <v>22</v>
      </c>
      <c r="AJ172" s="76"/>
      <c r="AK172" s="76"/>
      <c r="AL172" s="76"/>
      <c r="AM172" s="76"/>
    </row>
    <row r="173" spans="4:34">
      <c r="D173" s="2"/>
      <c r="H173" s="5"/>
      <c r="AD173" s="2"/>
      <c r="AH173" s="5"/>
    </row>
    <row r="174" spans="1:35">
      <c r="A174" s="6"/>
      <c r="B174" s="7" t="s">
        <v>15</v>
      </c>
      <c r="C174" s="49" t="s">
        <v>80</v>
      </c>
      <c r="D174" s="50"/>
      <c r="I174" s="37"/>
      <c r="AA174" s="6"/>
      <c r="AB174" s="7" t="s">
        <v>86</v>
      </c>
      <c r="AC174" s="49" t="s">
        <v>1616</v>
      </c>
      <c r="AD174" s="50"/>
      <c r="AI174" s="37"/>
    </row>
    <row r="175" spans="1:39">
      <c r="A175" s="10"/>
      <c r="B175" s="11" t="s">
        <v>124</v>
      </c>
      <c r="C175" s="49" t="str">
        <f>テーブル一覧!E27</f>
        <v>T_SOD_IIJ_LINE_LIST</v>
      </c>
      <c r="D175" s="50"/>
      <c r="E175" s="68" t="s">
        <v>1648</v>
      </c>
      <c r="F175" s="3"/>
      <c r="G175" s="3"/>
      <c r="H175" s="3"/>
      <c r="I175" s="37"/>
      <c r="J175" s="3"/>
      <c r="K175" s="3"/>
      <c r="L175" s="3"/>
      <c r="M175" s="38"/>
      <c r="AA175" s="10"/>
      <c r="AB175" s="11" t="s">
        <v>125</v>
      </c>
      <c r="AC175" s="49" t="e">
        <f>[1]テーブル一覧!AE48</f>
        <v>#REF!</v>
      </c>
      <c r="AD175" s="50"/>
      <c r="AE175" s="2" t="s">
        <v>1617</v>
      </c>
      <c r="AF175" s="3"/>
      <c r="AG175" s="3"/>
      <c r="AH175" s="3"/>
      <c r="AI175" s="37"/>
      <c r="AJ175" s="3"/>
      <c r="AK175" s="3"/>
      <c r="AL175" s="3"/>
      <c r="AM175" s="38"/>
    </row>
    <row r="176" ht="22.5" spans="1:39">
      <c r="A176" s="12" t="s">
        <v>0</v>
      </c>
      <c r="B176" s="13"/>
      <c r="C176" s="14" t="s">
        <v>126</v>
      </c>
      <c r="D176" s="15" t="s">
        <v>15</v>
      </c>
      <c r="E176" s="14" t="s">
        <v>16</v>
      </c>
      <c r="F176" s="16" t="s">
        <v>127</v>
      </c>
      <c r="G176" s="26" t="s">
        <v>127</v>
      </c>
      <c r="H176" s="14" t="s">
        <v>128</v>
      </c>
      <c r="I176" s="39" t="s">
        <v>129</v>
      </c>
      <c r="J176" s="14" t="s">
        <v>130</v>
      </c>
      <c r="K176" s="14" t="s">
        <v>131</v>
      </c>
      <c r="L176" s="14" t="s">
        <v>132</v>
      </c>
      <c r="M176" s="14" t="s">
        <v>6</v>
      </c>
      <c r="AA176" s="12" t="s">
        <v>0</v>
      </c>
      <c r="AB176" s="13"/>
      <c r="AC176" s="14" t="s">
        <v>133</v>
      </c>
      <c r="AD176" s="15" t="s">
        <v>86</v>
      </c>
      <c r="AE176" s="14" t="s">
        <v>87</v>
      </c>
      <c r="AF176" s="16" t="s">
        <v>134</v>
      </c>
      <c r="AG176" s="14" t="s">
        <v>134</v>
      </c>
      <c r="AH176" s="14" t="s">
        <v>128</v>
      </c>
      <c r="AI176" s="39" t="s">
        <v>135</v>
      </c>
      <c r="AJ176" s="14" t="s">
        <v>130</v>
      </c>
      <c r="AK176" s="14" t="s">
        <v>136</v>
      </c>
      <c r="AL176" s="14" t="s">
        <v>132</v>
      </c>
      <c r="AM176" s="14" t="s">
        <v>137</v>
      </c>
    </row>
    <row r="177" s="2" customFormat="1" spans="1:43">
      <c r="A177" s="32">
        <f>A175+1</f>
        <v>1</v>
      </c>
      <c r="B177" s="51"/>
      <c r="C177" s="51" t="s">
        <v>139</v>
      </c>
      <c r="D177" s="32" t="s">
        <v>300</v>
      </c>
      <c r="E177" s="32"/>
      <c r="F177" s="32"/>
      <c r="G177" s="31" t="s">
        <v>302</v>
      </c>
      <c r="H177" s="32"/>
      <c r="I177" s="64" t="s">
        <v>22</v>
      </c>
      <c r="J177" s="32"/>
      <c r="K177" s="32"/>
      <c r="L177" s="32" t="s">
        <v>188</v>
      </c>
      <c r="M177" s="32"/>
      <c r="Q177" s="3"/>
      <c r="X177" s="70"/>
      <c r="AA177" s="32">
        <f>AA175+1</f>
        <v>1</v>
      </c>
      <c r="AB177" s="51"/>
      <c r="AC177" s="51"/>
      <c r="AD177" s="52"/>
      <c r="AE177" s="32"/>
      <c r="AF177" s="32"/>
      <c r="AG177" s="31"/>
      <c r="AH177" s="32"/>
      <c r="AI177" s="64"/>
      <c r="AJ177" s="32"/>
      <c r="AK177" s="32"/>
      <c r="AL177" s="32"/>
      <c r="AM177" s="32"/>
      <c r="AQ177" s="3"/>
    </row>
    <row r="178" s="2" customFormat="1" ht="22.5" spans="1:43">
      <c r="A178" s="32">
        <f t="shared" ref="A178:A182" si="9">A177+1</f>
        <v>2</v>
      </c>
      <c r="B178" s="51"/>
      <c r="C178" s="51" t="s">
        <v>1649</v>
      </c>
      <c r="D178" s="32" t="s">
        <v>1650</v>
      </c>
      <c r="E178" s="32"/>
      <c r="F178" s="32"/>
      <c r="G178" s="31" t="s">
        <v>254</v>
      </c>
      <c r="H178" s="32"/>
      <c r="I178" s="64"/>
      <c r="J178" s="32"/>
      <c r="K178" s="32"/>
      <c r="L178" s="32"/>
      <c r="M178" s="32"/>
      <c r="Q178" s="3"/>
      <c r="X178" s="70"/>
      <c r="AA178" s="32"/>
      <c r="AB178" s="51"/>
      <c r="AC178" s="51"/>
      <c r="AD178" s="52"/>
      <c r="AE178" s="32"/>
      <c r="AF178" s="32"/>
      <c r="AG178" s="31"/>
      <c r="AH178" s="32"/>
      <c r="AI178" s="64"/>
      <c r="AJ178" s="32"/>
      <c r="AK178" s="32"/>
      <c r="AL178" s="32"/>
      <c r="AM178" s="32"/>
      <c r="AQ178" s="3"/>
    </row>
    <row r="179" s="2" customFormat="1" ht="45" spans="1:43">
      <c r="A179" s="32">
        <f t="shared" si="9"/>
        <v>3</v>
      </c>
      <c r="B179" s="51"/>
      <c r="C179" s="51" t="s">
        <v>982</v>
      </c>
      <c r="D179" s="32" t="s">
        <v>1651</v>
      </c>
      <c r="E179" s="32" t="s">
        <v>1652</v>
      </c>
      <c r="F179" s="32"/>
      <c r="G179" s="31" t="s">
        <v>142</v>
      </c>
      <c r="H179" s="32">
        <v>8</v>
      </c>
      <c r="I179" s="64" t="s">
        <v>22</v>
      </c>
      <c r="J179" s="32"/>
      <c r="K179" s="32"/>
      <c r="L179" s="32"/>
      <c r="M179" s="32"/>
      <c r="Q179" s="3"/>
      <c r="X179" s="70"/>
      <c r="AA179" s="32"/>
      <c r="AB179" s="51"/>
      <c r="AC179" s="51"/>
      <c r="AD179" s="52"/>
      <c r="AE179" s="32"/>
      <c r="AF179" s="32"/>
      <c r="AG179" s="31"/>
      <c r="AH179" s="32"/>
      <c r="AI179" s="64"/>
      <c r="AJ179" s="32"/>
      <c r="AK179" s="32"/>
      <c r="AL179" s="32"/>
      <c r="AM179" s="32"/>
      <c r="AQ179" s="3"/>
    </row>
    <row r="180" s="2" customFormat="1" ht="45" spans="1:43">
      <c r="A180" s="32">
        <f t="shared" si="9"/>
        <v>4</v>
      </c>
      <c r="B180" s="51"/>
      <c r="C180" s="67" t="s">
        <v>1653</v>
      </c>
      <c r="D180" s="32" t="s">
        <v>560</v>
      </c>
      <c r="E180" s="32" t="s">
        <v>1654</v>
      </c>
      <c r="F180" s="32"/>
      <c r="G180" s="31" t="s">
        <v>142</v>
      </c>
      <c r="H180" s="32">
        <v>11</v>
      </c>
      <c r="I180" s="64" t="s">
        <v>22</v>
      </c>
      <c r="J180" s="32"/>
      <c r="K180" s="32"/>
      <c r="L180" s="32"/>
      <c r="M180" s="32"/>
      <c r="Q180" s="3"/>
      <c r="X180" s="70"/>
      <c r="AA180" s="32">
        <f>AA177+1</f>
        <v>2</v>
      </c>
      <c r="AB180" s="51"/>
      <c r="AC180" s="32"/>
      <c r="AD180" s="52"/>
      <c r="AE180" s="32"/>
      <c r="AF180" s="32"/>
      <c r="AG180" s="31"/>
      <c r="AH180" s="32"/>
      <c r="AI180" s="64"/>
      <c r="AJ180" s="32"/>
      <c r="AK180" s="32"/>
      <c r="AL180" s="32"/>
      <c r="AM180" s="32"/>
      <c r="AQ180" s="3"/>
    </row>
    <row r="181" s="2" customFormat="1" ht="33.75" spans="1:43">
      <c r="A181" s="32">
        <f t="shared" si="9"/>
        <v>5</v>
      </c>
      <c r="B181" s="51"/>
      <c r="C181" s="67" t="s">
        <v>563</v>
      </c>
      <c r="D181" s="32" t="s">
        <v>564</v>
      </c>
      <c r="E181" s="32" t="s">
        <v>1655</v>
      </c>
      <c r="F181" s="32"/>
      <c r="G181" s="31" t="s">
        <v>142</v>
      </c>
      <c r="H181" s="32">
        <v>80</v>
      </c>
      <c r="I181" s="64"/>
      <c r="J181" s="32"/>
      <c r="K181" s="32"/>
      <c r="L181" s="32"/>
      <c r="M181" s="32"/>
      <c r="Q181" s="3"/>
      <c r="X181" s="70"/>
      <c r="AA181" s="32">
        <f t="shared" ref="AA181:AA191" si="10">AA180+1</f>
        <v>3</v>
      </c>
      <c r="AB181" s="51"/>
      <c r="AC181" s="32"/>
      <c r="AD181" s="52"/>
      <c r="AE181" s="32"/>
      <c r="AF181" s="32"/>
      <c r="AG181" s="31"/>
      <c r="AH181" s="32"/>
      <c r="AI181" s="64"/>
      <c r="AJ181" s="32"/>
      <c r="AK181" s="32"/>
      <c r="AL181" s="32"/>
      <c r="AM181" s="32"/>
      <c r="AQ181" s="3"/>
    </row>
    <row r="182" s="2" customFormat="1" spans="1:43">
      <c r="A182" s="32">
        <f t="shared" si="9"/>
        <v>6</v>
      </c>
      <c r="B182" s="51"/>
      <c r="C182" s="32" t="s">
        <v>474</v>
      </c>
      <c r="D182" s="32"/>
      <c r="E182" s="32" t="s">
        <v>1656</v>
      </c>
      <c r="F182" s="32"/>
      <c r="G182" s="31"/>
      <c r="H182" s="32"/>
      <c r="I182" s="64"/>
      <c r="J182" s="32"/>
      <c r="K182" s="32"/>
      <c r="L182" s="32"/>
      <c r="M182" s="32"/>
      <c r="Q182" s="3"/>
      <c r="X182" s="70"/>
      <c r="AA182" s="32"/>
      <c r="AB182" s="51"/>
      <c r="AC182" s="32"/>
      <c r="AD182" s="32"/>
      <c r="AE182" s="32"/>
      <c r="AF182" s="32"/>
      <c r="AG182" s="31"/>
      <c r="AH182" s="32"/>
      <c r="AI182" s="64"/>
      <c r="AJ182" s="32"/>
      <c r="AK182" s="32"/>
      <c r="AL182" s="32"/>
      <c r="AM182" s="32"/>
      <c r="AQ182" s="3"/>
    </row>
    <row r="183" s="2" customFormat="1" ht="22.5" spans="1:43">
      <c r="A183" s="32">
        <f t="shared" ref="A183:A191" si="11">A182+1</f>
        <v>7</v>
      </c>
      <c r="B183" s="51"/>
      <c r="C183" s="32" t="s">
        <v>1657</v>
      </c>
      <c r="D183" s="32"/>
      <c r="E183" s="32" t="s">
        <v>1658</v>
      </c>
      <c r="F183" s="32"/>
      <c r="G183" s="31"/>
      <c r="H183" s="32"/>
      <c r="I183" s="64"/>
      <c r="J183" s="32"/>
      <c r="K183" s="32"/>
      <c r="L183" s="32"/>
      <c r="M183" s="32"/>
      <c r="Q183" s="3"/>
      <c r="X183" s="70"/>
      <c r="AA183" s="32"/>
      <c r="AB183" s="51"/>
      <c r="AC183" s="32"/>
      <c r="AD183" s="32"/>
      <c r="AE183" s="32"/>
      <c r="AF183" s="32"/>
      <c r="AG183" s="31"/>
      <c r="AH183" s="32"/>
      <c r="AI183" s="64"/>
      <c r="AJ183" s="32"/>
      <c r="AK183" s="32"/>
      <c r="AL183" s="32"/>
      <c r="AM183" s="32"/>
      <c r="AQ183" s="3"/>
    </row>
    <row r="184" s="2" customFormat="1" ht="22.5" spans="1:39">
      <c r="A184" s="84">
        <f t="shared" si="11"/>
        <v>8</v>
      </c>
      <c r="B184" s="34"/>
      <c r="C184" s="33" t="s">
        <v>150</v>
      </c>
      <c r="D184" s="35" t="s">
        <v>151</v>
      </c>
      <c r="E184" s="33" t="s">
        <v>152</v>
      </c>
      <c r="F184" s="33"/>
      <c r="G184" s="33" t="s">
        <v>154</v>
      </c>
      <c r="H184" s="33" t="s">
        <v>8</v>
      </c>
      <c r="I184" s="45" t="s">
        <v>22</v>
      </c>
      <c r="J184" s="225" t="s">
        <v>155</v>
      </c>
      <c r="K184" s="33"/>
      <c r="L184" s="33"/>
      <c r="M184" s="33" t="s">
        <v>156</v>
      </c>
      <c r="X184" s="70"/>
      <c r="AA184" s="76" t="e">
        <f>#REF!+1</f>
        <v>#REF!</v>
      </c>
      <c r="AB184" s="77"/>
      <c r="AC184" s="76" t="s">
        <v>150</v>
      </c>
      <c r="AD184" s="78" t="s">
        <v>151</v>
      </c>
      <c r="AE184" s="76" t="s">
        <v>644</v>
      </c>
      <c r="AF184" s="76" t="s">
        <v>153</v>
      </c>
      <c r="AG184" s="76" t="s">
        <v>154</v>
      </c>
      <c r="AH184" s="76" t="s">
        <v>8</v>
      </c>
      <c r="AI184" s="81" t="s">
        <v>22</v>
      </c>
      <c r="AJ184" s="230" t="s">
        <v>155</v>
      </c>
      <c r="AK184" s="76"/>
      <c r="AL184" s="76"/>
      <c r="AM184" s="76" t="s">
        <v>617</v>
      </c>
    </row>
    <row r="185" s="2" customFormat="1" ht="22.5" spans="1:39">
      <c r="A185" s="33">
        <f t="shared" si="11"/>
        <v>9</v>
      </c>
      <c r="B185" s="34"/>
      <c r="C185" s="33" t="s">
        <v>159</v>
      </c>
      <c r="D185" s="35" t="s">
        <v>160</v>
      </c>
      <c r="E185" s="33" t="s">
        <v>161</v>
      </c>
      <c r="F185" s="33"/>
      <c r="G185" s="33" t="s">
        <v>162</v>
      </c>
      <c r="H185" s="33"/>
      <c r="I185" s="45" t="s">
        <v>22</v>
      </c>
      <c r="J185" s="33">
        <v>0</v>
      </c>
      <c r="K185" s="33"/>
      <c r="L185" s="33"/>
      <c r="M185" s="33"/>
      <c r="X185" s="70"/>
      <c r="AA185" s="76" t="e">
        <f t="shared" si="10"/>
        <v>#REF!</v>
      </c>
      <c r="AB185" s="77"/>
      <c r="AC185" s="76" t="s">
        <v>159</v>
      </c>
      <c r="AD185" s="78" t="s">
        <v>160</v>
      </c>
      <c r="AE185" s="76" t="s">
        <v>163</v>
      </c>
      <c r="AF185" s="76" t="s">
        <v>153</v>
      </c>
      <c r="AG185" s="76" t="s">
        <v>162</v>
      </c>
      <c r="AH185" s="76"/>
      <c r="AI185" s="81" t="s">
        <v>22</v>
      </c>
      <c r="AJ185" s="76">
        <v>0</v>
      </c>
      <c r="AK185" s="76"/>
      <c r="AL185" s="76"/>
      <c r="AM185" s="76"/>
    </row>
    <row r="186" s="2" customFormat="1" spans="1:39">
      <c r="A186" s="33">
        <f t="shared" si="11"/>
        <v>10</v>
      </c>
      <c r="B186" s="34"/>
      <c r="C186" s="33" t="s">
        <v>164</v>
      </c>
      <c r="D186" s="35" t="s">
        <v>165</v>
      </c>
      <c r="E186" s="33"/>
      <c r="F186" s="33"/>
      <c r="G186" s="33" t="s">
        <v>142</v>
      </c>
      <c r="H186" s="33">
        <v>32</v>
      </c>
      <c r="I186" s="45"/>
      <c r="J186" s="33"/>
      <c r="K186" s="33"/>
      <c r="L186" s="33"/>
      <c r="M186" s="33"/>
      <c r="X186" s="70"/>
      <c r="AA186" s="76" t="e">
        <f t="shared" si="10"/>
        <v>#REF!</v>
      </c>
      <c r="AB186" s="77"/>
      <c r="AC186" s="76" t="s">
        <v>164</v>
      </c>
      <c r="AD186" s="78" t="s">
        <v>165</v>
      </c>
      <c r="AE186" s="76"/>
      <c r="AF186" s="76" t="s">
        <v>141</v>
      </c>
      <c r="AG186" s="76" t="s">
        <v>142</v>
      </c>
      <c r="AH186" s="76">
        <v>32</v>
      </c>
      <c r="AI186" s="81"/>
      <c r="AJ186" s="76"/>
      <c r="AK186" s="76"/>
      <c r="AL186" s="76"/>
      <c r="AM186" s="76"/>
    </row>
    <row r="187" s="2" customFormat="1" spans="1:39">
      <c r="A187" s="33">
        <f t="shared" si="11"/>
        <v>11</v>
      </c>
      <c r="B187" s="34"/>
      <c r="C187" s="33" t="s">
        <v>166</v>
      </c>
      <c r="D187" s="35" t="s">
        <v>167</v>
      </c>
      <c r="E187" s="33"/>
      <c r="F187" s="33"/>
      <c r="G187" s="33" t="s">
        <v>142</v>
      </c>
      <c r="H187" s="33">
        <v>32</v>
      </c>
      <c r="I187" s="45"/>
      <c r="J187" s="33"/>
      <c r="K187" s="33"/>
      <c r="L187" s="33"/>
      <c r="M187" s="33" t="s">
        <v>168</v>
      </c>
      <c r="X187" s="70"/>
      <c r="AA187" s="76" t="e">
        <f t="shared" si="10"/>
        <v>#REF!</v>
      </c>
      <c r="AB187" s="77"/>
      <c r="AC187" s="76" t="s">
        <v>166</v>
      </c>
      <c r="AD187" s="78" t="s">
        <v>167</v>
      </c>
      <c r="AE187" s="76"/>
      <c r="AF187" s="76" t="s">
        <v>153</v>
      </c>
      <c r="AG187" s="76" t="s">
        <v>142</v>
      </c>
      <c r="AH187" s="76">
        <v>32</v>
      </c>
      <c r="AI187" s="81"/>
      <c r="AJ187" s="76"/>
      <c r="AK187" s="76"/>
      <c r="AL187" s="76"/>
      <c r="AM187" s="76" t="s">
        <v>1159</v>
      </c>
    </row>
    <row r="188" s="2" customFormat="1" spans="1:39">
      <c r="A188" s="33">
        <f t="shared" si="11"/>
        <v>12</v>
      </c>
      <c r="B188" s="34"/>
      <c r="C188" s="36" t="s">
        <v>170</v>
      </c>
      <c r="D188" s="35" t="s">
        <v>171</v>
      </c>
      <c r="E188" s="33"/>
      <c r="F188" s="33"/>
      <c r="G188" s="33" t="s">
        <v>173</v>
      </c>
      <c r="H188" s="33" t="s">
        <v>8</v>
      </c>
      <c r="I188" s="45" t="s">
        <v>22</v>
      </c>
      <c r="J188" s="33"/>
      <c r="K188" s="33"/>
      <c r="L188" s="33"/>
      <c r="M188" s="33"/>
      <c r="X188" s="70"/>
      <c r="AA188" s="76" t="e">
        <f t="shared" si="10"/>
        <v>#REF!</v>
      </c>
      <c r="AB188" s="77"/>
      <c r="AC188" s="76" t="s">
        <v>351</v>
      </c>
      <c r="AD188" s="78" t="s">
        <v>171</v>
      </c>
      <c r="AE188" s="76"/>
      <c r="AF188" s="76" t="s">
        <v>172</v>
      </c>
      <c r="AG188" s="76" t="s">
        <v>173</v>
      </c>
      <c r="AH188" s="76" t="s">
        <v>8</v>
      </c>
      <c r="AI188" s="81" t="s">
        <v>22</v>
      </c>
      <c r="AJ188" s="76"/>
      <c r="AK188" s="76"/>
      <c r="AL188" s="76"/>
      <c r="AM188" s="76"/>
    </row>
    <row r="189" s="2" customFormat="1" spans="1:39">
      <c r="A189" s="33">
        <f t="shared" si="11"/>
        <v>13</v>
      </c>
      <c r="B189" s="34"/>
      <c r="C189" s="33" t="s">
        <v>174</v>
      </c>
      <c r="D189" s="35" t="s">
        <v>175</v>
      </c>
      <c r="E189" s="33"/>
      <c r="F189" s="33"/>
      <c r="G189" s="33" t="s">
        <v>142</v>
      </c>
      <c r="H189" s="33">
        <v>32</v>
      </c>
      <c r="I189" s="45"/>
      <c r="J189" s="33"/>
      <c r="K189" s="33"/>
      <c r="L189" s="33"/>
      <c r="M189" s="33"/>
      <c r="X189" s="70"/>
      <c r="AA189" s="76" t="e">
        <f t="shared" si="10"/>
        <v>#REF!</v>
      </c>
      <c r="AB189" s="77"/>
      <c r="AC189" s="76" t="s">
        <v>174</v>
      </c>
      <c r="AD189" s="78" t="s">
        <v>175</v>
      </c>
      <c r="AE189" s="76"/>
      <c r="AF189" s="76" t="s">
        <v>141</v>
      </c>
      <c r="AG189" s="76" t="s">
        <v>142</v>
      </c>
      <c r="AH189" s="76">
        <v>32</v>
      </c>
      <c r="AI189" s="81"/>
      <c r="AJ189" s="76"/>
      <c r="AK189" s="76"/>
      <c r="AL189" s="76"/>
      <c r="AM189" s="76"/>
    </row>
    <row r="190" s="2" customFormat="1" ht="22.5" spans="1:39">
      <c r="A190" s="33">
        <f t="shared" si="11"/>
        <v>14</v>
      </c>
      <c r="B190" s="34"/>
      <c r="C190" s="33" t="s">
        <v>176</v>
      </c>
      <c r="D190" s="35" t="s">
        <v>177</v>
      </c>
      <c r="E190" s="33" t="s">
        <v>178</v>
      </c>
      <c r="F190" s="33"/>
      <c r="G190" s="33" t="s">
        <v>142</v>
      </c>
      <c r="H190" s="33">
        <v>32</v>
      </c>
      <c r="I190" s="45"/>
      <c r="J190" s="33"/>
      <c r="K190" s="33"/>
      <c r="L190" s="33"/>
      <c r="M190" s="33" t="s">
        <v>179</v>
      </c>
      <c r="X190" s="70"/>
      <c r="AA190" s="76" t="e">
        <f t="shared" si="10"/>
        <v>#REF!</v>
      </c>
      <c r="AB190" s="77"/>
      <c r="AC190" s="76" t="s">
        <v>176</v>
      </c>
      <c r="AD190" s="78" t="s">
        <v>177</v>
      </c>
      <c r="AE190" s="76" t="s">
        <v>180</v>
      </c>
      <c r="AF190" s="76" t="s">
        <v>153</v>
      </c>
      <c r="AG190" s="76" t="s">
        <v>142</v>
      </c>
      <c r="AH190" s="76">
        <v>32</v>
      </c>
      <c r="AI190" s="81"/>
      <c r="AJ190" s="76"/>
      <c r="AK190" s="76"/>
      <c r="AL190" s="76"/>
      <c r="AM190" s="76" t="s">
        <v>1160</v>
      </c>
    </row>
    <row r="191" s="2" customFormat="1" spans="1:39">
      <c r="A191" s="33">
        <f t="shared" si="11"/>
        <v>15</v>
      </c>
      <c r="B191" s="34"/>
      <c r="C191" s="36" t="s">
        <v>182</v>
      </c>
      <c r="D191" s="35" t="s">
        <v>183</v>
      </c>
      <c r="E191" s="33"/>
      <c r="F191" s="33"/>
      <c r="G191" s="33" t="s">
        <v>173</v>
      </c>
      <c r="H191" s="33" t="s">
        <v>8</v>
      </c>
      <c r="I191" s="45" t="s">
        <v>22</v>
      </c>
      <c r="J191" s="33"/>
      <c r="K191" s="33"/>
      <c r="L191" s="33"/>
      <c r="M191" s="33"/>
      <c r="X191" s="70"/>
      <c r="AA191" s="76" t="e">
        <f t="shared" si="10"/>
        <v>#REF!</v>
      </c>
      <c r="AB191" s="77"/>
      <c r="AC191" s="76" t="s">
        <v>353</v>
      </c>
      <c r="AD191" s="78" t="s">
        <v>183</v>
      </c>
      <c r="AE191" s="76"/>
      <c r="AF191" s="76" t="s">
        <v>172</v>
      </c>
      <c r="AG191" s="76" t="s">
        <v>173</v>
      </c>
      <c r="AH191" s="76" t="s">
        <v>8</v>
      </c>
      <c r="AI191" s="81" t="s">
        <v>22</v>
      </c>
      <c r="AJ191" s="76"/>
      <c r="AK191" s="76"/>
      <c r="AL191" s="76"/>
      <c r="AM191" s="76"/>
    </row>
  </sheetData>
  <conditionalFormatting sqref="D12:E12">
    <cfRule type="dataBar" priority="14">
      <dataBar>
        <cfvo type="min"/>
        <cfvo type="max"/>
        <color rgb="FF638EC6"/>
      </dataBar>
      <extLst>
        <ext xmlns:x14="http://schemas.microsoft.com/office/spreadsheetml/2009/9/main" uri="{B025F937-C7B1-47D3-B67F-A62EFF666E3E}">
          <x14:id>{61662fda-457b-4fad-b703-3f1f0074cd9d}</x14:id>
        </ext>
      </extLst>
    </cfRule>
  </conditionalFormatting>
  <conditionalFormatting sqref="AD12:AE12">
    <cfRule type="dataBar" priority="6">
      <dataBar>
        <cfvo type="min"/>
        <cfvo type="max"/>
        <color rgb="FF638EC6"/>
      </dataBar>
      <extLst>
        <ext xmlns:x14="http://schemas.microsoft.com/office/spreadsheetml/2009/9/main" uri="{B025F937-C7B1-47D3-B67F-A62EFF666E3E}">
          <x14:id>{8a81fe4e-19a5-4fa6-9244-0151eef62217}</x14:id>
        </ext>
      </extLst>
    </cfRule>
  </conditionalFormatting>
  <conditionalFormatting sqref="D65:E65">
    <cfRule type="dataBar" priority="13">
      <dataBar>
        <cfvo type="min"/>
        <cfvo type="max"/>
        <color rgb="FF638EC6"/>
      </dataBar>
      <extLst>
        <ext xmlns:x14="http://schemas.microsoft.com/office/spreadsheetml/2009/9/main" uri="{B025F937-C7B1-47D3-B67F-A62EFF666E3E}">
          <x14:id>{af7e4a48-efbe-4054-8a8b-e00786a69125}</x14:id>
        </ext>
      </extLst>
    </cfRule>
  </conditionalFormatting>
  <conditionalFormatting sqref="AD65:AE65">
    <cfRule type="dataBar" priority="5">
      <dataBar>
        <cfvo type="min"/>
        <cfvo type="max"/>
        <color rgb="FF638EC6"/>
      </dataBar>
      <extLst>
        <ext xmlns:x14="http://schemas.microsoft.com/office/spreadsheetml/2009/9/main" uri="{B025F937-C7B1-47D3-B67F-A62EFF666E3E}">
          <x14:id>{7039add6-323f-4a54-8382-1ba3cc0332c3}</x14:id>
        </ext>
      </extLst>
    </cfRule>
  </conditionalFormatting>
  <conditionalFormatting sqref="D156:E156">
    <cfRule type="dataBar" priority="11">
      <dataBar>
        <cfvo type="min"/>
        <cfvo type="max"/>
        <color rgb="FF638EC6"/>
      </dataBar>
      <extLst>
        <ext xmlns:x14="http://schemas.microsoft.com/office/spreadsheetml/2009/9/main" uri="{B025F937-C7B1-47D3-B67F-A62EFF666E3E}">
          <x14:id>{a80be033-84fe-4246-8d78-16be534cb958}</x14:id>
        </ext>
      </extLst>
    </cfRule>
  </conditionalFormatting>
  <conditionalFormatting sqref="AD156:AE156">
    <cfRule type="dataBar" priority="3">
      <dataBar>
        <cfvo type="min"/>
        <cfvo type="max"/>
        <color rgb="FF638EC6"/>
      </dataBar>
      <extLst>
        <ext xmlns:x14="http://schemas.microsoft.com/office/spreadsheetml/2009/9/main" uri="{B025F937-C7B1-47D3-B67F-A62EFF666E3E}">
          <x14:id>{e7ff74d1-5c8c-4a83-80ee-5bece7411b7b}</x14:id>
        </ext>
      </extLst>
    </cfRule>
  </conditionalFormatting>
  <conditionalFormatting sqref="D181:E181">
    <cfRule type="dataBar" priority="2">
      <dataBar>
        <cfvo type="min"/>
        <cfvo type="max"/>
        <color rgb="FF638EC6"/>
      </dataBar>
      <extLst>
        <ext xmlns:x14="http://schemas.microsoft.com/office/spreadsheetml/2009/9/main" uri="{B025F937-C7B1-47D3-B67F-A62EFF666E3E}">
          <x14:id>{8bd65736-eede-4ffe-b5a6-6be1284b5384}</x14:id>
        </ext>
      </extLst>
    </cfRule>
  </conditionalFormatting>
  <conditionalFormatting sqref="AD181:AE181">
    <cfRule type="dataBar" priority="1">
      <dataBar>
        <cfvo type="min"/>
        <cfvo type="max"/>
        <color rgb="FF638EC6"/>
      </dataBar>
      <extLst>
        <ext xmlns:x14="http://schemas.microsoft.com/office/spreadsheetml/2009/9/main" uri="{B025F937-C7B1-47D3-B67F-A62EFF666E3E}">
          <x14:id>{131d6b6f-3948-4c6a-8350-ae620e135c41}</x14:id>
        </ext>
      </extLst>
    </cfRule>
  </conditionalFormatting>
  <conditionalFormatting sqref="D132:E133">
    <cfRule type="dataBar" priority="12">
      <dataBar>
        <cfvo type="min"/>
        <cfvo type="max"/>
        <color rgb="FF638EC6"/>
      </dataBar>
      <extLst>
        <ext xmlns:x14="http://schemas.microsoft.com/office/spreadsheetml/2009/9/main" uri="{B025F937-C7B1-47D3-B67F-A62EFF666E3E}">
          <x14:id>{f5543fd0-183b-4c27-8da1-9c71d91a0442}</x14:id>
        </ext>
      </extLst>
    </cfRule>
  </conditionalFormatting>
  <conditionalFormatting sqref="AD132:AE133">
    <cfRule type="dataBar" priority="4">
      <dataBar>
        <cfvo type="min"/>
        <cfvo type="max"/>
        <color rgb="FF638EC6"/>
      </dataBar>
      <extLst>
        <ext xmlns:x14="http://schemas.microsoft.com/office/spreadsheetml/2009/9/main" uri="{B025F937-C7B1-47D3-B67F-A62EFF666E3E}">
          <x14:id>{0524d9ae-d119-4461-a1ef-61eba8a850a9}</x14:id>
        </ext>
      </extLst>
    </cfRule>
  </conditionalFormatting>
  <dataValidations count="2">
    <dataValidation type="list" allowBlank="1" showInputMessage="1" showErrorMessage="1" sqref="F109">
      <formula1>設定!$A:$A</formula1>
    </dataValidation>
    <dataValidation type="list" allowBlank="1" showInputMessage="1" showErrorMessage="1" sqref="G8:G55 G60:G124 G129:G149 G154:G172 G177:G191">
      <formula1>設定!$B:$B</formula1>
    </dataValidation>
  </dataValidations>
  <pageMargins left="0.393700787401575" right="0.393700787401575" top="0.984251968503937" bottom="0.984251968503937" header="0.511811023622047" footer="0.511811023622047"/>
  <pageSetup paperSize="9" scale="16" fitToHeight="0" orientation="portrait"/>
  <headerFooter>
    <oddHeader>&amp;C&amp;"Arial,太字"&amp;14&amp;A&amp;R&amp;D &amp;T</oddHeader>
    <oddFooter>&amp;C&amp;P/&amp;N&amp;R&amp;F</oddFooter>
  </headerFooter>
  <extLst>
    <ext xmlns:x14="http://schemas.microsoft.com/office/spreadsheetml/2009/9/main" uri="{78C0D931-6437-407d-A8EE-F0AAD7539E65}">
      <x14:conditionalFormattings>
        <x14:conditionalFormatting xmlns:xm="http://schemas.microsoft.com/office/excel/2006/main">
          <x14:cfRule type="dataBar" id="{61662fda-457b-4fad-b703-3f1f0074cd9d}">
            <x14:dataBar minLength="0" maxLength="100" negativeBarColorSameAsPositive="1" axisPosition="none">
              <x14:cfvo type="min"/>
              <x14:cfvo type="max"/>
              <x14:axisColor indexed="65"/>
            </x14:dataBar>
          </x14:cfRule>
          <xm:sqref>D12:E12</xm:sqref>
        </x14:conditionalFormatting>
        <x14:conditionalFormatting xmlns:xm="http://schemas.microsoft.com/office/excel/2006/main">
          <x14:cfRule type="dataBar" id="{8a81fe4e-19a5-4fa6-9244-0151eef62217}">
            <x14:dataBar minLength="0" maxLength="100" negativeBarColorSameAsPositive="1" axisPosition="none">
              <x14:cfvo type="min"/>
              <x14:cfvo type="max"/>
              <x14:axisColor indexed="65"/>
            </x14:dataBar>
          </x14:cfRule>
          <xm:sqref>AD12:AE12</xm:sqref>
        </x14:conditionalFormatting>
        <x14:conditionalFormatting xmlns:xm="http://schemas.microsoft.com/office/excel/2006/main">
          <x14:cfRule type="dataBar" id="{af7e4a48-efbe-4054-8a8b-e00786a69125}">
            <x14:dataBar minLength="0" maxLength="100" negativeBarColorSameAsPositive="1" axisPosition="none">
              <x14:cfvo type="min"/>
              <x14:cfvo type="max"/>
              <x14:axisColor indexed="65"/>
            </x14:dataBar>
          </x14:cfRule>
          <xm:sqref>D65:E65</xm:sqref>
        </x14:conditionalFormatting>
        <x14:conditionalFormatting xmlns:xm="http://schemas.microsoft.com/office/excel/2006/main">
          <x14:cfRule type="dataBar" id="{7039add6-323f-4a54-8382-1ba3cc0332c3}">
            <x14:dataBar minLength="0" maxLength="100" negativeBarColorSameAsPositive="1" axisPosition="none">
              <x14:cfvo type="min"/>
              <x14:cfvo type="max"/>
              <x14:axisColor indexed="65"/>
            </x14:dataBar>
          </x14:cfRule>
          <xm:sqref>AD65:AE65</xm:sqref>
        </x14:conditionalFormatting>
        <x14:conditionalFormatting xmlns:xm="http://schemas.microsoft.com/office/excel/2006/main">
          <x14:cfRule type="dataBar" id="{a80be033-84fe-4246-8d78-16be534cb958}">
            <x14:dataBar minLength="0" maxLength="100" negativeBarColorSameAsPositive="1" axisPosition="none">
              <x14:cfvo type="min"/>
              <x14:cfvo type="max"/>
              <x14:axisColor indexed="65"/>
            </x14:dataBar>
          </x14:cfRule>
          <xm:sqref>D156:E156</xm:sqref>
        </x14:conditionalFormatting>
        <x14:conditionalFormatting xmlns:xm="http://schemas.microsoft.com/office/excel/2006/main">
          <x14:cfRule type="dataBar" id="{e7ff74d1-5c8c-4a83-80ee-5bece7411b7b}">
            <x14:dataBar minLength="0" maxLength="100" negativeBarColorSameAsPositive="1" axisPosition="none">
              <x14:cfvo type="min"/>
              <x14:cfvo type="max"/>
              <x14:axisColor indexed="65"/>
            </x14:dataBar>
          </x14:cfRule>
          <xm:sqref>AD156:AE156</xm:sqref>
        </x14:conditionalFormatting>
        <x14:conditionalFormatting xmlns:xm="http://schemas.microsoft.com/office/excel/2006/main">
          <x14:cfRule type="dataBar" id="{8bd65736-eede-4ffe-b5a6-6be1284b5384}">
            <x14:dataBar minLength="0" maxLength="100" negativeBarColorSameAsPositive="1" axisPosition="none">
              <x14:cfvo type="min"/>
              <x14:cfvo type="max"/>
              <x14:axisColor indexed="65"/>
            </x14:dataBar>
          </x14:cfRule>
          <xm:sqref>D181:E181</xm:sqref>
        </x14:conditionalFormatting>
        <x14:conditionalFormatting xmlns:xm="http://schemas.microsoft.com/office/excel/2006/main">
          <x14:cfRule type="dataBar" id="{131d6b6f-3948-4c6a-8350-ae620e135c41}">
            <x14:dataBar minLength="0" maxLength="100" negativeBarColorSameAsPositive="1" axisPosition="none">
              <x14:cfvo type="min"/>
              <x14:cfvo type="max"/>
              <x14:axisColor indexed="65"/>
            </x14:dataBar>
          </x14:cfRule>
          <xm:sqref>AD181:AE181</xm:sqref>
        </x14:conditionalFormatting>
        <x14:conditionalFormatting xmlns:xm="http://schemas.microsoft.com/office/excel/2006/main">
          <x14:cfRule type="dataBar" id="{f5543fd0-183b-4c27-8da1-9c71d91a0442}">
            <x14:dataBar minLength="0" maxLength="100" negativeBarColorSameAsPositive="1" axisPosition="none">
              <x14:cfvo type="min"/>
              <x14:cfvo type="max"/>
              <x14:axisColor indexed="65"/>
            </x14:dataBar>
          </x14:cfRule>
          <xm:sqref>D132:E133</xm:sqref>
        </x14:conditionalFormatting>
        <x14:conditionalFormatting xmlns:xm="http://schemas.microsoft.com/office/excel/2006/main">
          <x14:cfRule type="dataBar" id="{0524d9ae-d119-4461-a1ef-61eba8a850a9}">
            <x14:dataBar minLength="0" maxLength="100" negativeBarColorSameAsPositive="1" axisPosition="none">
              <x14:cfvo type="min"/>
              <x14:cfvo type="max"/>
              <x14:axisColor indexed="65"/>
            </x14:dataBar>
          </x14:cfRule>
          <xm:sqref>AD132:AE133</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tabColor rgb="FF00B0F0"/>
    <pageSetUpPr fitToPage="1"/>
  </sheetPr>
  <dimension ref="A1:AB20"/>
  <sheetViews>
    <sheetView showGridLines="0" zoomScale="85" zoomScaleNormal="85" workbookViewId="0">
      <pane xSplit="4" ySplit="3" topLeftCell="E4" activePane="bottomRight" state="frozen"/>
      <selection/>
      <selection pane="topRight"/>
      <selection pane="bottomLeft"/>
      <selection pane="bottomRight" activeCell="Q30" sqref="Q30"/>
    </sheetView>
  </sheetViews>
  <sheetFormatPr defaultColWidth="9.33333333333333" defaultRowHeight="11.25"/>
  <cols>
    <col min="1" max="1" width="4.33333333333333" style="2" customWidth="1"/>
    <col min="2" max="2" width="13.3333333333333" style="3" customWidth="1"/>
    <col min="3" max="3" width="30.7777777777778" style="2" customWidth="1"/>
    <col min="4" max="4" width="30.7777777777778" style="3" customWidth="1"/>
    <col min="5" max="5" width="36.7777777777778" style="2" customWidth="1"/>
    <col min="6" max="7" width="10.7777777777778" style="2" customWidth="1"/>
    <col min="8" max="8" width="6.77777777777778" style="2" customWidth="1"/>
    <col min="9" max="9" width="5.77777777777778" style="4" customWidth="1"/>
    <col min="10" max="10" width="10.7777777777778" style="2" customWidth="1"/>
    <col min="11" max="11" width="18.7777777777778" style="2" customWidth="1"/>
    <col min="12" max="12" width="8.77777777777778" style="2" customWidth="1"/>
    <col min="13" max="13" width="22.7777777777778" style="2" customWidth="1"/>
    <col min="14" max="15" width="9.33333333333333" style="5"/>
    <col min="16" max="16" width="4.33333333333333" style="2" customWidth="1"/>
    <col min="17" max="17" width="19.3333333333333" style="3" customWidth="1"/>
    <col min="18" max="18" width="30.7777777777778" style="2" customWidth="1"/>
    <col min="19" max="19" width="30.7777777777778" style="3" customWidth="1"/>
    <col min="20" max="20" width="36.7777777777778" style="2" customWidth="1"/>
    <col min="21" max="22" width="10.7777777777778" style="2" customWidth="1"/>
    <col min="23" max="23" width="6.77777777777778" style="2" customWidth="1"/>
    <col min="24" max="24" width="12" style="4" customWidth="1"/>
    <col min="25" max="25" width="12.1111111111111" style="2" customWidth="1"/>
    <col min="26" max="26" width="18.7777777777778" style="2" customWidth="1"/>
    <col min="27" max="27" width="11" style="2" customWidth="1"/>
    <col min="28" max="28" width="22.7777777777778" style="2" customWidth="1"/>
    <col min="29" max="16384" width="9.33333333333333" style="5"/>
  </cols>
  <sheetData>
    <row r="1" s="2" customFormat="1" spans="1:24">
      <c r="A1" s="6"/>
      <c r="B1" s="7" t="s">
        <v>15</v>
      </c>
      <c r="C1" s="8"/>
      <c r="D1" s="9"/>
      <c r="I1" s="37"/>
      <c r="P1" s="6"/>
      <c r="Q1" s="7" t="s">
        <v>86</v>
      </c>
      <c r="R1" s="8"/>
      <c r="S1" s="9"/>
      <c r="X1" s="37"/>
    </row>
    <row r="2" s="2" customFormat="1" spans="1:28">
      <c r="A2" s="10"/>
      <c r="B2" s="11" t="s">
        <v>124</v>
      </c>
      <c r="C2" s="8"/>
      <c r="D2" s="9"/>
      <c r="F2" s="3"/>
      <c r="G2" s="3"/>
      <c r="H2" s="3"/>
      <c r="I2" s="37"/>
      <c r="J2" s="3"/>
      <c r="K2" s="3"/>
      <c r="L2" s="3"/>
      <c r="M2" s="38"/>
      <c r="P2" s="10"/>
      <c r="Q2" s="11" t="s">
        <v>125</v>
      </c>
      <c r="R2" s="8"/>
      <c r="S2" s="9"/>
      <c r="U2" s="3"/>
      <c r="V2" s="3"/>
      <c r="W2" s="3"/>
      <c r="X2" s="37"/>
      <c r="Y2" s="3"/>
      <c r="Z2" s="3"/>
      <c r="AA2" s="3"/>
      <c r="AB2" s="38"/>
    </row>
    <row r="3" s="2" customFormat="1" ht="22.5" spans="1:28">
      <c r="A3" s="12" t="s">
        <v>0</v>
      </c>
      <c r="B3" s="13"/>
      <c r="C3" s="14" t="s">
        <v>126</v>
      </c>
      <c r="D3" s="15" t="s">
        <v>15</v>
      </c>
      <c r="E3" s="14" t="s">
        <v>16</v>
      </c>
      <c r="F3" s="16" t="s">
        <v>127</v>
      </c>
      <c r="G3" s="14" t="s">
        <v>127</v>
      </c>
      <c r="H3" s="14" t="s">
        <v>128</v>
      </c>
      <c r="I3" s="39" t="s">
        <v>129</v>
      </c>
      <c r="J3" s="14" t="s">
        <v>130</v>
      </c>
      <c r="K3" s="14" t="s">
        <v>131</v>
      </c>
      <c r="L3" s="14" t="s">
        <v>132</v>
      </c>
      <c r="M3" s="14" t="s">
        <v>6</v>
      </c>
      <c r="P3" s="12" t="s">
        <v>0</v>
      </c>
      <c r="Q3" s="13"/>
      <c r="R3" s="14" t="s">
        <v>133</v>
      </c>
      <c r="S3" s="15" t="s">
        <v>86</v>
      </c>
      <c r="T3" s="14" t="s">
        <v>87</v>
      </c>
      <c r="U3" s="16" t="s">
        <v>134</v>
      </c>
      <c r="V3" s="14" t="s">
        <v>134</v>
      </c>
      <c r="W3" s="14" t="s">
        <v>128</v>
      </c>
      <c r="X3" s="39" t="s">
        <v>135</v>
      </c>
      <c r="Y3" s="14" t="s">
        <v>130</v>
      </c>
      <c r="Z3" s="14" t="s">
        <v>136</v>
      </c>
      <c r="AA3" s="14" t="s">
        <v>132</v>
      </c>
      <c r="AB3" s="14" t="s">
        <v>137</v>
      </c>
    </row>
    <row r="5" spans="1:28">
      <c r="A5" s="17"/>
      <c r="B5" s="18" t="s">
        <v>15</v>
      </c>
      <c r="C5" s="19" t="s">
        <v>66</v>
      </c>
      <c r="D5" s="20"/>
      <c r="E5" s="21"/>
      <c r="F5" s="21"/>
      <c r="G5" s="21"/>
      <c r="H5" s="21"/>
      <c r="I5" s="40"/>
      <c r="J5" s="21"/>
      <c r="K5" s="21"/>
      <c r="L5" s="21"/>
      <c r="M5" s="21"/>
      <c r="P5" s="17"/>
      <c r="Q5" s="18" t="s">
        <v>86</v>
      </c>
      <c r="R5" s="19" t="s">
        <v>66</v>
      </c>
      <c r="S5" s="20"/>
      <c r="T5" s="21"/>
      <c r="U5" s="21"/>
      <c r="V5" s="21"/>
      <c r="W5" s="21"/>
      <c r="X5" s="40"/>
      <c r="Y5" s="21"/>
      <c r="Z5" s="21"/>
      <c r="AA5" s="21"/>
      <c r="AB5" s="21"/>
    </row>
    <row r="6" spans="1:28">
      <c r="A6" s="22"/>
      <c r="B6" s="23" t="s">
        <v>124</v>
      </c>
      <c r="C6" s="19" t="str">
        <f>テーブル一覧!E21</f>
        <v>T_SOD_MAINTENANCE_INFO</v>
      </c>
      <c r="D6" s="20"/>
      <c r="E6" s="21" t="s">
        <v>65</v>
      </c>
      <c r="F6" s="1"/>
      <c r="G6" s="1"/>
      <c r="H6" s="1"/>
      <c r="I6" s="40"/>
      <c r="J6" s="1"/>
      <c r="K6" s="1"/>
      <c r="L6" s="1"/>
      <c r="M6" s="41"/>
      <c r="P6" s="22"/>
      <c r="Q6" s="23" t="s">
        <v>125</v>
      </c>
      <c r="R6" s="19" t="str">
        <f>C6</f>
        <v>T_SOD_MAINTENANCE_INFO</v>
      </c>
      <c r="S6" s="20"/>
      <c r="T6" s="21" t="s">
        <v>65</v>
      </c>
      <c r="U6" s="1"/>
      <c r="V6" s="1"/>
      <c r="W6" s="1"/>
      <c r="X6" s="40"/>
      <c r="Y6" s="1"/>
      <c r="Z6" s="1"/>
      <c r="AA6" s="1"/>
      <c r="AB6" s="41"/>
    </row>
    <row r="7" ht="22.5" spans="1:28">
      <c r="A7" s="24" t="s">
        <v>0</v>
      </c>
      <c r="B7" s="25"/>
      <c r="C7" s="26" t="s">
        <v>126</v>
      </c>
      <c r="D7" s="27" t="s">
        <v>15</v>
      </c>
      <c r="E7" s="26" t="s">
        <v>16</v>
      </c>
      <c r="F7" s="16" t="s">
        <v>127</v>
      </c>
      <c r="G7" s="26" t="s">
        <v>127</v>
      </c>
      <c r="H7" s="26" t="s">
        <v>128</v>
      </c>
      <c r="I7" s="42" t="s">
        <v>129</v>
      </c>
      <c r="J7" s="26" t="s">
        <v>130</v>
      </c>
      <c r="K7" s="26" t="s">
        <v>131</v>
      </c>
      <c r="L7" s="26" t="s">
        <v>132</v>
      </c>
      <c r="M7" s="26" t="s">
        <v>6</v>
      </c>
      <c r="P7" s="24" t="s">
        <v>0</v>
      </c>
      <c r="Q7" s="25"/>
      <c r="R7" s="26" t="s">
        <v>133</v>
      </c>
      <c r="S7" s="27" t="s">
        <v>86</v>
      </c>
      <c r="T7" s="26" t="s">
        <v>87</v>
      </c>
      <c r="U7" s="16" t="s">
        <v>134</v>
      </c>
      <c r="V7" s="26" t="s">
        <v>134</v>
      </c>
      <c r="W7" s="26" t="s">
        <v>128</v>
      </c>
      <c r="X7" s="42" t="s">
        <v>135</v>
      </c>
      <c r="Y7" s="26" t="s">
        <v>130</v>
      </c>
      <c r="Z7" s="26" t="s">
        <v>136</v>
      </c>
      <c r="AA7" s="26" t="s">
        <v>132</v>
      </c>
      <c r="AB7" s="26" t="s">
        <v>137</v>
      </c>
    </row>
    <row r="8" s="2" customFormat="1" ht="33.75" spans="1:28">
      <c r="A8" s="28">
        <v>1</v>
      </c>
      <c r="B8" s="29"/>
      <c r="C8" s="28" t="s">
        <v>139</v>
      </c>
      <c r="D8" s="30" t="s">
        <v>1659</v>
      </c>
      <c r="E8" s="28"/>
      <c r="F8" s="31" t="s">
        <v>301</v>
      </c>
      <c r="G8" s="32" t="s">
        <v>302</v>
      </c>
      <c r="H8" s="31" t="s">
        <v>8</v>
      </c>
      <c r="I8" s="43" t="s">
        <v>22</v>
      </c>
      <c r="J8" s="31"/>
      <c r="K8" s="31" t="s">
        <v>303</v>
      </c>
      <c r="L8" s="31" t="s">
        <v>188</v>
      </c>
      <c r="M8" s="28" t="s">
        <v>1660</v>
      </c>
      <c r="P8" s="28">
        <v>1</v>
      </c>
      <c r="Q8" s="29"/>
      <c r="R8" s="28" t="s">
        <v>139</v>
      </c>
      <c r="S8" s="30" t="s">
        <v>1659</v>
      </c>
      <c r="T8" s="28"/>
      <c r="U8" s="31" t="s">
        <v>301</v>
      </c>
      <c r="V8" s="31" t="s">
        <v>306</v>
      </c>
      <c r="W8" s="31" t="s">
        <v>8</v>
      </c>
      <c r="X8" s="43" t="s">
        <v>22</v>
      </c>
      <c r="Y8" s="31"/>
      <c r="Z8" s="31" t="s">
        <v>303</v>
      </c>
      <c r="AA8" s="31" t="s">
        <v>188</v>
      </c>
      <c r="AB8" s="28" t="s">
        <v>1661</v>
      </c>
    </row>
    <row r="9" s="2" customFormat="1" spans="1:28">
      <c r="A9" s="28">
        <f>A8+1</f>
        <v>2</v>
      </c>
      <c r="B9" s="29"/>
      <c r="C9" s="31" t="s">
        <v>1122</v>
      </c>
      <c r="D9" s="31" t="s">
        <v>1123</v>
      </c>
      <c r="E9" s="31" t="s">
        <v>1662</v>
      </c>
      <c r="F9" s="31" t="s">
        <v>153</v>
      </c>
      <c r="G9" s="31" t="s">
        <v>254</v>
      </c>
      <c r="H9" s="31" t="s">
        <v>8</v>
      </c>
      <c r="I9" s="43" t="s">
        <v>22</v>
      </c>
      <c r="J9" s="28"/>
      <c r="K9" s="28"/>
      <c r="L9" s="28"/>
      <c r="M9" s="28"/>
      <c r="P9" s="28">
        <f t="shared" ref="P9:P20" si="0">P8+1</f>
        <v>2</v>
      </c>
      <c r="Q9" s="29"/>
      <c r="R9" s="31" t="s">
        <v>1122</v>
      </c>
      <c r="S9" s="31" t="s">
        <v>1123</v>
      </c>
      <c r="T9" s="31" t="s">
        <v>1662</v>
      </c>
      <c r="U9" s="31" t="s">
        <v>153</v>
      </c>
      <c r="V9" s="31" t="s">
        <v>254</v>
      </c>
      <c r="W9" s="31" t="s">
        <v>8</v>
      </c>
      <c r="X9" s="43" t="s">
        <v>22</v>
      </c>
      <c r="Y9" s="28"/>
      <c r="Z9" s="28"/>
      <c r="AA9" s="28"/>
      <c r="AB9" s="28"/>
    </row>
    <row r="10" s="2" customFormat="1" spans="1:28">
      <c r="A10" s="28">
        <f t="shared" ref="A10:A20" si="1">A9+1</f>
        <v>3</v>
      </c>
      <c r="B10" s="29"/>
      <c r="C10" s="31" t="s">
        <v>1663</v>
      </c>
      <c r="D10" s="31" t="s">
        <v>1664</v>
      </c>
      <c r="E10" s="31"/>
      <c r="F10" s="28" t="s">
        <v>172</v>
      </c>
      <c r="G10" s="31" t="s">
        <v>173</v>
      </c>
      <c r="H10" s="28" t="s">
        <v>8</v>
      </c>
      <c r="I10" s="44" t="s">
        <v>22</v>
      </c>
      <c r="J10" s="28"/>
      <c r="K10" s="28"/>
      <c r="L10" s="28"/>
      <c r="M10" s="28"/>
      <c r="P10" s="28">
        <f t="shared" si="0"/>
        <v>3</v>
      </c>
      <c r="Q10" s="29"/>
      <c r="R10" s="31" t="s">
        <v>1663</v>
      </c>
      <c r="S10" s="31" t="s">
        <v>1664</v>
      </c>
      <c r="T10" s="31"/>
      <c r="U10" s="28" t="s">
        <v>172</v>
      </c>
      <c r="V10" s="31" t="s">
        <v>173</v>
      </c>
      <c r="W10" s="28" t="s">
        <v>8</v>
      </c>
      <c r="X10" s="44" t="s">
        <v>22</v>
      </c>
      <c r="Y10" s="28"/>
      <c r="Z10" s="28"/>
      <c r="AA10" s="28"/>
      <c r="AB10" s="28"/>
    </row>
    <row r="11" s="2" customFormat="1" spans="1:28">
      <c r="A11" s="28">
        <f t="shared" si="1"/>
        <v>4</v>
      </c>
      <c r="B11" s="29"/>
      <c r="C11" s="31" t="s">
        <v>1665</v>
      </c>
      <c r="D11" s="31" t="s">
        <v>1666</v>
      </c>
      <c r="E11" s="31"/>
      <c r="F11" s="28" t="s">
        <v>172</v>
      </c>
      <c r="G11" s="31" t="s">
        <v>173</v>
      </c>
      <c r="H11" s="28" t="s">
        <v>8</v>
      </c>
      <c r="I11" s="44" t="s">
        <v>22</v>
      </c>
      <c r="J11" s="28"/>
      <c r="K11" s="28"/>
      <c r="L11" s="28"/>
      <c r="M11" s="28"/>
      <c r="P11" s="28">
        <f t="shared" si="0"/>
        <v>4</v>
      </c>
      <c r="Q11" s="29"/>
      <c r="R11" s="31" t="s">
        <v>1665</v>
      </c>
      <c r="S11" s="31" t="s">
        <v>1666</v>
      </c>
      <c r="T11" s="31"/>
      <c r="U11" s="28" t="s">
        <v>172</v>
      </c>
      <c r="V11" s="31" t="s">
        <v>173</v>
      </c>
      <c r="W11" s="28" t="s">
        <v>8</v>
      </c>
      <c r="X11" s="44" t="s">
        <v>22</v>
      </c>
      <c r="Y11" s="28"/>
      <c r="Z11" s="28"/>
      <c r="AA11" s="28"/>
      <c r="AB11" s="28"/>
    </row>
    <row r="12" s="2" customFormat="1" spans="1:28">
      <c r="A12" s="28">
        <f t="shared" si="1"/>
        <v>5</v>
      </c>
      <c r="B12" s="29"/>
      <c r="C12" s="31" t="s">
        <v>149</v>
      </c>
      <c r="D12" s="31" t="s">
        <v>6</v>
      </c>
      <c r="E12" s="31"/>
      <c r="F12" s="28" t="s">
        <v>141</v>
      </c>
      <c r="G12" s="31" t="s">
        <v>142</v>
      </c>
      <c r="H12" s="31">
        <v>255</v>
      </c>
      <c r="I12" s="44"/>
      <c r="J12" s="28"/>
      <c r="K12" s="28"/>
      <c r="L12" s="28"/>
      <c r="M12" s="28"/>
      <c r="P12" s="28">
        <f t="shared" si="0"/>
        <v>5</v>
      </c>
      <c r="Q12" s="29"/>
      <c r="R12" s="31" t="s">
        <v>149</v>
      </c>
      <c r="S12" s="31" t="s">
        <v>137</v>
      </c>
      <c r="T12" s="31"/>
      <c r="U12" s="28" t="s">
        <v>141</v>
      </c>
      <c r="V12" s="31" t="s">
        <v>142</v>
      </c>
      <c r="W12" s="31">
        <v>255</v>
      </c>
      <c r="X12" s="44"/>
      <c r="Y12" s="28"/>
      <c r="Z12" s="28"/>
      <c r="AA12" s="28"/>
      <c r="AB12" s="28"/>
    </row>
    <row r="13" s="2" customFormat="1" ht="22.5" spans="1:28">
      <c r="A13" s="33">
        <f t="shared" si="1"/>
        <v>6</v>
      </c>
      <c r="B13" s="34"/>
      <c r="C13" s="33" t="s">
        <v>150</v>
      </c>
      <c r="D13" s="35" t="s">
        <v>151</v>
      </c>
      <c r="E13" s="33" t="s">
        <v>152</v>
      </c>
      <c r="F13" s="33" t="s">
        <v>153</v>
      </c>
      <c r="G13" s="33" t="s">
        <v>154</v>
      </c>
      <c r="H13" s="33" t="s">
        <v>8</v>
      </c>
      <c r="I13" s="45" t="s">
        <v>22</v>
      </c>
      <c r="J13" s="225" t="s">
        <v>155</v>
      </c>
      <c r="K13" s="33"/>
      <c r="L13" s="33"/>
      <c r="M13" s="33" t="s">
        <v>156</v>
      </c>
      <c r="P13" s="33">
        <f t="shared" si="0"/>
        <v>6</v>
      </c>
      <c r="Q13" s="34"/>
      <c r="R13" s="33" t="s">
        <v>150</v>
      </c>
      <c r="S13" s="35" t="s">
        <v>151</v>
      </c>
      <c r="T13" s="33" t="s">
        <v>644</v>
      </c>
      <c r="U13" s="33" t="s">
        <v>153</v>
      </c>
      <c r="V13" s="33" t="s">
        <v>154</v>
      </c>
      <c r="W13" s="33" t="s">
        <v>8</v>
      </c>
      <c r="X13" s="45" t="s">
        <v>22</v>
      </c>
      <c r="Y13" s="225" t="s">
        <v>155</v>
      </c>
      <c r="Z13" s="33"/>
      <c r="AA13" s="33"/>
      <c r="AB13" s="33" t="s">
        <v>158</v>
      </c>
    </row>
    <row r="14" s="2" customFormat="1" ht="22.5" spans="1:28">
      <c r="A14" s="33">
        <f t="shared" si="1"/>
        <v>7</v>
      </c>
      <c r="B14" s="34"/>
      <c r="C14" s="33" t="s">
        <v>159</v>
      </c>
      <c r="D14" s="35" t="s">
        <v>160</v>
      </c>
      <c r="E14" s="33" t="s">
        <v>161</v>
      </c>
      <c r="F14" s="33" t="s">
        <v>153</v>
      </c>
      <c r="G14" s="33" t="s">
        <v>162</v>
      </c>
      <c r="H14" s="33"/>
      <c r="I14" s="45" t="s">
        <v>22</v>
      </c>
      <c r="J14" s="33">
        <v>0</v>
      </c>
      <c r="K14" s="33"/>
      <c r="L14" s="33"/>
      <c r="M14" s="33"/>
      <c r="P14" s="33">
        <f t="shared" si="0"/>
        <v>7</v>
      </c>
      <c r="Q14" s="34"/>
      <c r="R14" s="33" t="s">
        <v>159</v>
      </c>
      <c r="S14" s="35" t="s">
        <v>160</v>
      </c>
      <c r="T14" s="33" t="s">
        <v>163</v>
      </c>
      <c r="U14" s="33" t="s">
        <v>153</v>
      </c>
      <c r="V14" s="33" t="s">
        <v>162</v>
      </c>
      <c r="W14" s="33"/>
      <c r="X14" s="45" t="s">
        <v>22</v>
      </c>
      <c r="Y14" s="33">
        <v>0</v>
      </c>
      <c r="Z14" s="33"/>
      <c r="AA14" s="33"/>
      <c r="AB14" s="33"/>
    </row>
    <row r="15" s="2" customFormat="1" spans="1:28">
      <c r="A15" s="33">
        <f t="shared" si="1"/>
        <v>8</v>
      </c>
      <c r="B15" s="34"/>
      <c r="C15" s="33" t="s">
        <v>164</v>
      </c>
      <c r="D15" s="35" t="s">
        <v>165</v>
      </c>
      <c r="E15" s="33"/>
      <c r="F15" s="33" t="s">
        <v>141</v>
      </c>
      <c r="G15" s="33" t="s">
        <v>142</v>
      </c>
      <c r="H15" s="33">
        <v>32</v>
      </c>
      <c r="I15" s="45"/>
      <c r="J15" s="33"/>
      <c r="K15" s="33"/>
      <c r="L15" s="33"/>
      <c r="M15" s="33"/>
      <c r="P15" s="33">
        <f t="shared" si="0"/>
        <v>8</v>
      </c>
      <c r="Q15" s="34"/>
      <c r="R15" s="33" t="s">
        <v>164</v>
      </c>
      <c r="S15" s="35" t="s">
        <v>165</v>
      </c>
      <c r="T15" s="33"/>
      <c r="U15" s="33" t="s">
        <v>141</v>
      </c>
      <c r="V15" s="33" t="s">
        <v>142</v>
      </c>
      <c r="W15" s="33">
        <v>32</v>
      </c>
      <c r="X15" s="45"/>
      <c r="Y15" s="33"/>
      <c r="Z15" s="33"/>
      <c r="AA15" s="33"/>
      <c r="AB15" s="33"/>
    </row>
    <row r="16" s="2" customFormat="1" spans="1:28">
      <c r="A16" s="33">
        <f t="shared" si="1"/>
        <v>9</v>
      </c>
      <c r="B16" s="34"/>
      <c r="C16" s="33" t="s">
        <v>166</v>
      </c>
      <c r="D16" s="35" t="s">
        <v>167</v>
      </c>
      <c r="E16" s="33"/>
      <c r="F16" s="33" t="s">
        <v>153</v>
      </c>
      <c r="G16" s="33" t="s">
        <v>142</v>
      </c>
      <c r="H16" s="33">
        <v>32</v>
      </c>
      <c r="I16" s="45"/>
      <c r="J16" s="33"/>
      <c r="K16" s="33"/>
      <c r="L16" s="33"/>
      <c r="M16" s="33" t="s">
        <v>168</v>
      </c>
      <c r="P16" s="33">
        <f t="shared" si="0"/>
        <v>9</v>
      </c>
      <c r="Q16" s="34"/>
      <c r="R16" s="33" t="s">
        <v>166</v>
      </c>
      <c r="S16" s="35" t="s">
        <v>167</v>
      </c>
      <c r="T16" s="33"/>
      <c r="U16" s="33" t="s">
        <v>153</v>
      </c>
      <c r="V16" s="33" t="s">
        <v>142</v>
      </c>
      <c r="W16" s="33">
        <v>32</v>
      </c>
      <c r="X16" s="45"/>
      <c r="Y16" s="33"/>
      <c r="Z16" s="33"/>
      <c r="AA16" s="33"/>
      <c r="AB16" s="33" t="s">
        <v>169</v>
      </c>
    </row>
    <row r="17" s="2" customFormat="1" spans="1:28">
      <c r="A17" s="33">
        <f t="shared" si="1"/>
        <v>10</v>
      </c>
      <c r="B17" s="34"/>
      <c r="C17" s="36" t="s">
        <v>170</v>
      </c>
      <c r="D17" s="35" t="s">
        <v>171</v>
      </c>
      <c r="E17" s="33"/>
      <c r="F17" s="33" t="s">
        <v>172</v>
      </c>
      <c r="G17" s="33" t="s">
        <v>173</v>
      </c>
      <c r="H17" s="33" t="s">
        <v>8</v>
      </c>
      <c r="I17" s="45" t="s">
        <v>22</v>
      </c>
      <c r="J17" s="33"/>
      <c r="K17" s="33"/>
      <c r="L17" s="33"/>
      <c r="M17" s="33"/>
      <c r="P17" s="33">
        <f t="shared" si="0"/>
        <v>10</v>
      </c>
      <c r="Q17" s="34"/>
      <c r="R17" s="33" t="s">
        <v>351</v>
      </c>
      <c r="S17" s="35" t="s">
        <v>171</v>
      </c>
      <c r="T17" s="33"/>
      <c r="U17" s="33" t="s">
        <v>172</v>
      </c>
      <c r="V17" s="33" t="s">
        <v>173</v>
      </c>
      <c r="W17" s="33" t="s">
        <v>8</v>
      </c>
      <c r="X17" s="45" t="s">
        <v>22</v>
      </c>
      <c r="Y17" s="33"/>
      <c r="Z17" s="33"/>
      <c r="AA17" s="33"/>
      <c r="AB17" s="33"/>
    </row>
    <row r="18" s="2" customFormat="1" spans="1:28">
      <c r="A18" s="33">
        <f t="shared" si="1"/>
        <v>11</v>
      </c>
      <c r="B18" s="34"/>
      <c r="C18" s="33" t="s">
        <v>174</v>
      </c>
      <c r="D18" s="35" t="s">
        <v>175</v>
      </c>
      <c r="E18" s="33"/>
      <c r="F18" s="33" t="s">
        <v>141</v>
      </c>
      <c r="G18" s="33" t="s">
        <v>142</v>
      </c>
      <c r="H18" s="33">
        <v>32</v>
      </c>
      <c r="I18" s="45"/>
      <c r="J18" s="33"/>
      <c r="K18" s="33"/>
      <c r="L18" s="33"/>
      <c r="M18" s="33"/>
      <c r="P18" s="33">
        <f t="shared" si="0"/>
        <v>11</v>
      </c>
      <c r="Q18" s="34"/>
      <c r="R18" s="33" t="s">
        <v>174</v>
      </c>
      <c r="S18" s="35" t="s">
        <v>175</v>
      </c>
      <c r="T18" s="33"/>
      <c r="U18" s="33" t="s">
        <v>141</v>
      </c>
      <c r="V18" s="33" t="s">
        <v>142</v>
      </c>
      <c r="W18" s="33">
        <v>32</v>
      </c>
      <c r="X18" s="45"/>
      <c r="Y18" s="33"/>
      <c r="Z18" s="33"/>
      <c r="AA18" s="33"/>
      <c r="AB18" s="33"/>
    </row>
    <row r="19" s="2" customFormat="1" ht="33.75" spans="1:28">
      <c r="A19" s="33">
        <f t="shared" si="1"/>
        <v>12</v>
      </c>
      <c r="B19" s="34"/>
      <c r="C19" s="33" t="s">
        <v>176</v>
      </c>
      <c r="D19" s="35" t="s">
        <v>177</v>
      </c>
      <c r="E19" s="33" t="s">
        <v>178</v>
      </c>
      <c r="F19" s="33" t="s">
        <v>153</v>
      </c>
      <c r="G19" s="33" t="s">
        <v>142</v>
      </c>
      <c r="H19" s="33">
        <v>32</v>
      </c>
      <c r="I19" s="45"/>
      <c r="J19" s="33"/>
      <c r="K19" s="33"/>
      <c r="L19" s="33"/>
      <c r="M19" s="33" t="s">
        <v>179</v>
      </c>
      <c r="P19" s="33">
        <f t="shared" si="0"/>
        <v>12</v>
      </c>
      <c r="Q19" s="34"/>
      <c r="R19" s="33" t="s">
        <v>176</v>
      </c>
      <c r="S19" s="35" t="s">
        <v>177</v>
      </c>
      <c r="T19" s="33" t="s">
        <v>180</v>
      </c>
      <c r="U19" s="33" t="s">
        <v>153</v>
      </c>
      <c r="V19" s="33" t="s">
        <v>142</v>
      </c>
      <c r="W19" s="33">
        <v>32</v>
      </c>
      <c r="X19" s="45"/>
      <c r="Y19" s="33"/>
      <c r="Z19" s="33"/>
      <c r="AA19" s="33"/>
      <c r="AB19" s="33" t="s">
        <v>181</v>
      </c>
    </row>
    <row r="20" s="2" customFormat="1" spans="1:28">
      <c r="A20" s="33">
        <f t="shared" si="1"/>
        <v>13</v>
      </c>
      <c r="B20" s="34"/>
      <c r="C20" s="36" t="s">
        <v>182</v>
      </c>
      <c r="D20" s="35" t="s">
        <v>183</v>
      </c>
      <c r="E20" s="33"/>
      <c r="F20" s="33" t="s">
        <v>172</v>
      </c>
      <c r="G20" s="33" t="s">
        <v>173</v>
      </c>
      <c r="H20" s="33" t="s">
        <v>8</v>
      </c>
      <c r="I20" s="45" t="s">
        <v>22</v>
      </c>
      <c r="J20" s="33"/>
      <c r="K20" s="33"/>
      <c r="L20" s="33"/>
      <c r="M20" s="33"/>
      <c r="P20" s="33">
        <f t="shared" si="0"/>
        <v>13</v>
      </c>
      <c r="Q20" s="34"/>
      <c r="R20" s="33" t="s">
        <v>353</v>
      </c>
      <c r="S20" s="35" t="s">
        <v>183</v>
      </c>
      <c r="T20" s="33"/>
      <c r="U20" s="33" t="s">
        <v>172</v>
      </c>
      <c r="V20" s="33" t="s">
        <v>173</v>
      </c>
      <c r="W20" s="33" t="s">
        <v>8</v>
      </c>
      <c r="X20" s="45" t="s">
        <v>22</v>
      </c>
      <c r="Y20" s="33"/>
      <c r="Z20" s="33"/>
      <c r="AA20" s="33"/>
      <c r="AB20" s="33"/>
    </row>
  </sheetData>
  <dataValidations count="1">
    <dataValidation type="list" allowBlank="1" showInputMessage="1" showErrorMessage="1" sqref="G8:G20">
      <formula1>設定!$B:$B</formula1>
    </dataValidation>
  </dataValidations>
  <pageMargins left="0.393700787401575" right="0.393700787401575" top="0.984251968503937" bottom="0.984251968503937" header="0.511811023622047" footer="0.511811023622047"/>
  <pageSetup paperSize="9" scale="58" fitToHeight="0" orientation="portrait"/>
  <headerFooter>
    <oddHeader>&amp;C&amp;"Arial,太字"&amp;14&amp;A&amp;R&amp;D &amp;T</oddHeader>
    <oddFooter>&amp;C&amp;P/&amp;N&amp;R&amp;F</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N41"/>
  <sheetViews>
    <sheetView showGridLines="0" workbookViewId="0">
      <selection activeCell="B29" sqref="B29"/>
    </sheetView>
  </sheetViews>
  <sheetFormatPr defaultColWidth="9.33333333333333" defaultRowHeight="11.25"/>
  <cols>
    <col min="1" max="1" width="19.1111111111111" style="1" customWidth="1"/>
    <col min="2" max="2" width="27.6666666666667" style="1" customWidth="1"/>
    <col min="3" max="11" width="9.33333333333333" style="1"/>
    <col min="12" max="12" width="45.4444444444444" style="1" customWidth="1"/>
    <col min="13" max="13" width="9.66666666666667" style="1" customWidth="1"/>
    <col min="14" max="14" width="55.7777777777778" style="1" customWidth="1"/>
    <col min="15" max="16384" width="9.33333333333333" style="1"/>
  </cols>
  <sheetData>
    <row r="1" spans="1:14">
      <c r="A1" s="1" t="s">
        <v>301</v>
      </c>
      <c r="B1" s="1" t="s">
        <v>162</v>
      </c>
      <c r="L1" s="1" t="s">
        <v>162</v>
      </c>
      <c r="M1" s="1" t="s">
        <v>1667</v>
      </c>
      <c r="N1" s="1" t="s">
        <v>1668</v>
      </c>
    </row>
    <row r="2" spans="1:14">
      <c r="A2" s="1" t="s">
        <v>1669</v>
      </c>
      <c r="B2" s="1" t="s">
        <v>302</v>
      </c>
      <c r="L2" s="1" t="s">
        <v>302</v>
      </c>
      <c r="M2" s="1" t="s">
        <v>1670</v>
      </c>
      <c r="N2" s="1" t="s">
        <v>1671</v>
      </c>
    </row>
    <row r="3" spans="1:14">
      <c r="A3" s="1" t="s">
        <v>1672</v>
      </c>
      <c r="B3" s="1" t="s">
        <v>1673</v>
      </c>
      <c r="L3" s="1" t="s">
        <v>1674</v>
      </c>
      <c r="N3" s="1" t="s">
        <v>1675</v>
      </c>
    </row>
    <row r="4" spans="1:14">
      <c r="A4" s="1" t="s">
        <v>627</v>
      </c>
      <c r="B4" s="1" t="s">
        <v>1676</v>
      </c>
      <c r="L4" s="1" t="s">
        <v>1677</v>
      </c>
      <c r="M4" s="1" t="s">
        <v>1676</v>
      </c>
      <c r="N4" s="1" t="s">
        <v>1678</v>
      </c>
    </row>
    <row r="5" spans="1:14">
      <c r="A5" s="1" t="s">
        <v>172</v>
      </c>
      <c r="B5" s="1" t="s">
        <v>154</v>
      </c>
      <c r="L5" s="1" t="s">
        <v>154</v>
      </c>
      <c r="M5" s="1" t="s">
        <v>1679</v>
      </c>
      <c r="N5" s="1" t="s">
        <v>1680</v>
      </c>
    </row>
    <row r="6" spans="1:14">
      <c r="A6" s="1" t="s">
        <v>1681</v>
      </c>
      <c r="B6" s="1" t="s">
        <v>1682</v>
      </c>
      <c r="L6" s="1" t="s">
        <v>1682</v>
      </c>
      <c r="N6" s="1" t="s">
        <v>1683</v>
      </c>
    </row>
    <row r="7" spans="1:14">
      <c r="A7" s="1" t="s">
        <v>1684</v>
      </c>
      <c r="B7" s="1" t="s">
        <v>1685</v>
      </c>
      <c r="L7" s="1" t="s">
        <v>1685</v>
      </c>
      <c r="N7" s="1" t="s">
        <v>1686</v>
      </c>
    </row>
    <row r="8" spans="1:14">
      <c r="A8" s="1" t="s">
        <v>1687</v>
      </c>
      <c r="B8" s="1" t="s">
        <v>1688</v>
      </c>
      <c r="L8" s="1" t="s">
        <v>1689</v>
      </c>
      <c r="M8" s="1" t="s">
        <v>1690</v>
      </c>
      <c r="N8" s="1" t="s">
        <v>1691</v>
      </c>
    </row>
    <row r="9" spans="1:14">
      <c r="A9" s="1" t="s">
        <v>1692</v>
      </c>
      <c r="B9" s="1" t="s">
        <v>142</v>
      </c>
      <c r="L9" s="1" t="s">
        <v>1693</v>
      </c>
      <c r="M9" s="1" t="s">
        <v>1694</v>
      </c>
      <c r="N9" s="1" t="s">
        <v>1695</v>
      </c>
    </row>
    <row r="10" spans="1:14">
      <c r="A10" s="1" t="s">
        <v>1696</v>
      </c>
      <c r="B10" s="1" t="s">
        <v>1697</v>
      </c>
      <c r="L10" s="1" t="s">
        <v>1697</v>
      </c>
      <c r="N10" s="1" t="s">
        <v>1698</v>
      </c>
    </row>
    <row r="11" spans="1:14">
      <c r="A11" s="1" t="s">
        <v>285</v>
      </c>
      <c r="B11" s="1" t="s">
        <v>1699</v>
      </c>
      <c r="L11" s="1" t="s">
        <v>1699</v>
      </c>
      <c r="N11" s="1" t="s">
        <v>1700</v>
      </c>
    </row>
    <row r="12" spans="1:14">
      <c r="A12" s="1" t="s">
        <v>1036</v>
      </c>
      <c r="B12" s="1" t="s">
        <v>628</v>
      </c>
      <c r="L12" s="1" t="s">
        <v>628</v>
      </c>
      <c r="N12" s="1" t="s">
        <v>1701</v>
      </c>
    </row>
    <row r="13" spans="1:14">
      <c r="A13" s="1" t="s">
        <v>1027</v>
      </c>
      <c r="B13" s="1" t="s">
        <v>1702</v>
      </c>
      <c r="L13" s="1" t="s">
        <v>1703</v>
      </c>
      <c r="M13" s="1" t="s">
        <v>1702</v>
      </c>
      <c r="N13" s="1" t="s">
        <v>1704</v>
      </c>
    </row>
    <row r="14" spans="1:14">
      <c r="A14" s="1" t="s">
        <v>1705</v>
      </c>
      <c r="B14" s="1" t="s">
        <v>1706</v>
      </c>
      <c r="L14" s="1" t="s">
        <v>1706</v>
      </c>
      <c r="N14" s="1" t="s">
        <v>1707</v>
      </c>
    </row>
    <row r="15" spans="1:14">
      <c r="A15" s="1" t="s">
        <v>1708</v>
      </c>
      <c r="B15" s="1" t="s">
        <v>286</v>
      </c>
      <c r="L15" s="1" t="s">
        <v>286</v>
      </c>
      <c r="M15" s="1" t="s">
        <v>1709</v>
      </c>
      <c r="N15" s="1" t="s">
        <v>1710</v>
      </c>
    </row>
    <row r="16" spans="1:14">
      <c r="A16" s="1" t="s">
        <v>1711</v>
      </c>
      <c r="B16" s="1" t="s">
        <v>1712</v>
      </c>
      <c r="L16" s="1" t="s">
        <v>1713</v>
      </c>
      <c r="N16" s="1" t="s">
        <v>1714</v>
      </c>
    </row>
    <row r="17" spans="1:14">
      <c r="A17" s="1" t="s">
        <v>267</v>
      </c>
      <c r="B17" s="1" t="s">
        <v>517</v>
      </c>
      <c r="L17" s="1" t="s">
        <v>517</v>
      </c>
      <c r="N17" s="1" t="s">
        <v>1715</v>
      </c>
    </row>
    <row r="18" spans="1:14">
      <c r="A18" s="1" t="s">
        <v>516</v>
      </c>
      <c r="B18" s="1" t="s">
        <v>1716</v>
      </c>
      <c r="L18" s="1" t="s">
        <v>1716</v>
      </c>
      <c r="N18" s="1" t="s">
        <v>1717</v>
      </c>
    </row>
    <row r="19" spans="1:14">
      <c r="A19" s="1" t="s">
        <v>1718</v>
      </c>
      <c r="B19" s="1" t="s">
        <v>1719</v>
      </c>
      <c r="L19" s="1" t="s">
        <v>1719</v>
      </c>
      <c r="N19" s="1" t="s">
        <v>1720</v>
      </c>
    </row>
    <row r="20" spans="1:14">
      <c r="A20" s="1" t="s">
        <v>1721</v>
      </c>
      <c r="B20" s="1" t="s">
        <v>1722</v>
      </c>
      <c r="L20" s="1" t="s">
        <v>1722</v>
      </c>
      <c r="N20" s="1" t="s">
        <v>1723</v>
      </c>
    </row>
    <row r="21" spans="1:14">
      <c r="A21" s="1" t="s">
        <v>153</v>
      </c>
      <c r="B21" s="1" t="s">
        <v>1724</v>
      </c>
      <c r="L21" s="1" t="s">
        <v>1724</v>
      </c>
      <c r="N21" s="1" t="s">
        <v>1725</v>
      </c>
    </row>
    <row r="22" spans="1:14">
      <c r="A22" s="1" t="s">
        <v>1046</v>
      </c>
      <c r="B22" s="1" t="s">
        <v>1726</v>
      </c>
      <c r="L22" s="1" t="s">
        <v>1726</v>
      </c>
      <c r="N22" s="1" t="s">
        <v>1727</v>
      </c>
    </row>
    <row r="23" spans="1:14">
      <c r="A23" s="1" t="s">
        <v>141</v>
      </c>
      <c r="B23" s="1" t="s">
        <v>306</v>
      </c>
      <c r="L23" s="1" t="s">
        <v>1728</v>
      </c>
      <c r="M23" s="1" t="s">
        <v>1729</v>
      </c>
      <c r="N23" s="1" t="s">
        <v>1730</v>
      </c>
    </row>
    <row r="24" spans="1:14">
      <c r="A24" s="1" t="s">
        <v>1731</v>
      </c>
      <c r="B24" s="1" t="s">
        <v>1732</v>
      </c>
      <c r="L24" s="1" t="s">
        <v>1732</v>
      </c>
      <c r="N24" s="1" t="s">
        <v>1733</v>
      </c>
    </row>
    <row r="25" spans="2:14">
      <c r="B25" s="1" t="s">
        <v>1734</v>
      </c>
      <c r="L25" s="1" t="s">
        <v>1734</v>
      </c>
      <c r="N25" s="1" t="s">
        <v>1735</v>
      </c>
    </row>
    <row r="26" spans="2:14">
      <c r="B26" s="1" t="s">
        <v>1736</v>
      </c>
      <c r="L26" s="1" t="s">
        <v>1736</v>
      </c>
      <c r="N26" s="1" t="s">
        <v>1737</v>
      </c>
    </row>
    <row r="27" spans="2:14">
      <c r="B27" s="1" t="s">
        <v>1738</v>
      </c>
      <c r="L27" s="1" t="s">
        <v>1738</v>
      </c>
      <c r="N27" s="1" t="s">
        <v>1739</v>
      </c>
    </row>
    <row r="28" spans="2:14">
      <c r="B28" s="1" t="s">
        <v>1740</v>
      </c>
      <c r="L28" s="1" t="s">
        <v>1740</v>
      </c>
      <c r="M28" s="1" t="s">
        <v>1741</v>
      </c>
      <c r="N28" s="1" t="s">
        <v>1742</v>
      </c>
    </row>
    <row r="29" spans="2:14">
      <c r="B29" s="1" t="s">
        <v>254</v>
      </c>
      <c r="L29" s="1" t="s">
        <v>254</v>
      </c>
      <c r="M29" s="1" t="s">
        <v>1743</v>
      </c>
      <c r="N29" s="1" t="s">
        <v>1744</v>
      </c>
    </row>
    <row r="30" spans="2:14">
      <c r="B30" s="1" t="s">
        <v>1745</v>
      </c>
      <c r="L30" s="1" t="s">
        <v>1745</v>
      </c>
      <c r="M30" s="1" t="s">
        <v>1746</v>
      </c>
      <c r="N30" s="1" t="s">
        <v>1747</v>
      </c>
    </row>
    <row r="31" spans="2:14">
      <c r="B31" s="1" t="s">
        <v>1748</v>
      </c>
      <c r="L31" s="1" t="s">
        <v>1748</v>
      </c>
      <c r="M31" s="1" t="s">
        <v>1749</v>
      </c>
      <c r="N31" s="1" t="s">
        <v>1750</v>
      </c>
    </row>
    <row r="32" spans="2:14">
      <c r="B32" s="1" t="s">
        <v>1037</v>
      </c>
      <c r="L32" s="1" t="s">
        <v>1037</v>
      </c>
      <c r="N32" s="1" t="s">
        <v>1695</v>
      </c>
    </row>
    <row r="33" spans="2:14">
      <c r="B33" s="1" t="s">
        <v>1751</v>
      </c>
      <c r="L33" s="1" t="s">
        <v>1752</v>
      </c>
      <c r="N33" s="1" t="s">
        <v>1753</v>
      </c>
    </row>
    <row r="34" spans="2:14">
      <c r="B34" s="1" t="s">
        <v>1754</v>
      </c>
      <c r="L34" s="1" t="s">
        <v>1755</v>
      </c>
      <c r="M34" s="1" t="s">
        <v>1754</v>
      </c>
      <c r="N34" s="1" t="s">
        <v>1756</v>
      </c>
    </row>
    <row r="35" spans="2:14">
      <c r="B35" s="1" t="s">
        <v>173</v>
      </c>
      <c r="L35" s="1" t="s">
        <v>1757</v>
      </c>
      <c r="N35" s="1" t="s">
        <v>1758</v>
      </c>
    </row>
    <row r="36" spans="2:14">
      <c r="B36" s="1" t="s">
        <v>1759</v>
      </c>
      <c r="L36" s="1" t="s">
        <v>1760</v>
      </c>
      <c r="M36" s="1" t="s">
        <v>1759</v>
      </c>
      <c r="N36" s="1" t="s">
        <v>1761</v>
      </c>
    </row>
    <row r="37" spans="2:14">
      <c r="B37" s="1" t="s">
        <v>1762</v>
      </c>
      <c r="L37" s="1" t="s">
        <v>1762</v>
      </c>
      <c r="N37" s="1" t="s">
        <v>1763</v>
      </c>
    </row>
    <row r="38" spans="2:14">
      <c r="B38" s="1" t="s">
        <v>1764</v>
      </c>
      <c r="L38" s="1" t="s">
        <v>1764</v>
      </c>
      <c r="N38" s="1" t="s">
        <v>1765</v>
      </c>
    </row>
    <row r="39" spans="2:14">
      <c r="B39" s="1" t="s">
        <v>1766</v>
      </c>
      <c r="L39" s="1" t="s">
        <v>1766</v>
      </c>
      <c r="N39" s="1" t="s">
        <v>1767</v>
      </c>
    </row>
    <row r="40" spans="2:14">
      <c r="B40" s="1" t="s">
        <v>474</v>
      </c>
      <c r="L40" s="1" t="s">
        <v>474</v>
      </c>
      <c r="N40" s="1" t="s">
        <v>1768</v>
      </c>
    </row>
    <row r="41" spans="2:14">
      <c r="B41" s="1" t="s">
        <v>1769</v>
      </c>
      <c r="L41" s="1" t="s">
        <v>1769</v>
      </c>
      <c r="N41" s="1" t="s">
        <v>1770</v>
      </c>
    </row>
  </sheetData>
  <pageMargins left="0.75" right="0.75" top="1" bottom="1" header="0.512" footer="0.512"/>
  <pageSetup paperSize="9"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C66"/>
  <sheetViews>
    <sheetView workbookViewId="0">
      <selection activeCell="S32" sqref="S32"/>
    </sheetView>
  </sheetViews>
  <sheetFormatPr defaultColWidth="4.77777777777778" defaultRowHeight="11.25" outlineLevelCol="2"/>
  <cols>
    <col min="1" max="16384" width="4.77777777777778" style="1"/>
  </cols>
  <sheetData>
    <row r="1" spans="1:1">
      <c r="A1" s="1" t="s">
        <v>1771</v>
      </c>
    </row>
    <row r="3" spans="2:2">
      <c r="B3" s="1" t="s">
        <v>1772</v>
      </c>
    </row>
    <row r="5" spans="3:3">
      <c r="C5" s="1" t="s">
        <v>1773</v>
      </c>
    </row>
    <row r="7" spans="2:2">
      <c r="B7" s="1" t="s">
        <v>1774</v>
      </c>
    </row>
    <row r="8" spans="2:2">
      <c r="B8" s="1" t="s">
        <v>1775</v>
      </c>
    </row>
    <row r="10" spans="2:2">
      <c r="B10" s="1" t="s">
        <v>1776</v>
      </c>
    </row>
    <row r="12" spans="2:2">
      <c r="B12" s="1" t="s">
        <v>1777</v>
      </c>
    </row>
    <row r="13" spans="2:2">
      <c r="B13" s="1" t="s">
        <v>1778</v>
      </c>
    </row>
    <row r="15" spans="2:2">
      <c r="B15" s="1" t="s">
        <v>1779</v>
      </c>
    </row>
    <row r="16" spans="2:2">
      <c r="B16" s="1" t="s">
        <v>1780</v>
      </c>
    </row>
    <row r="18" spans="2:2">
      <c r="B18" s="1" t="s">
        <v>1781</v>
      </c>
    </row>
    <row r="20" spans="2:2">
      <c r="B20" s="1" t="s">
        <v>1782</v>
      </c>
    </row>
    <row r="22" spans="3:3">
      <c r="C22" s="1" t="s">
        <v>1783</v>
      </c>
    </row>
    <row r="24" spans="2:2">
      <c r="B24" s="1" t="s">
        <v>1784</v>
      </c>
    </row>
    <row r="25" spans="2:2">
      <c r="B25" s="1" t="s">
        <v>1785</v>
      </c>
    </row>
    <row r="26" spans="2:2">
      <c r="B26" s="1" t="s">
        <v>1786</v>
      </c>
    </row>
    <row r="27" spans="2:2">
      <c r="B27" s="1" t="s">
        <v>1787</v>
      </c>
    </row>
    <row r="29" spans="2:2">
      <c r="B29" s="1" t="s">
        <v>1788</v>
      </c>
    </row>
    <row r="31" spans="2:2">
      <c r="B31" s="1" t="s">
        <v>1789</v>
      </c>
    </row>
    <row r="32" spans="2:2">
      <c r="B32" s="1" t="s">
        <v>1790</v>
      </c>
    </row>
    <row r="34" spans="2:2">
      <c r="B34" s="1" t="s">
        <v>1781</v>
      </c>
    </row>
    <row r="36" spans="2:2">
      <c r="B36" s="1" t="s">
        <v>1791</v>
      </c>
    </row>
    <row r="38" spans="2:2">
      <c r="B38" s="1" t="s">
        <v>1792</v>
      </c>
    </row>
    <row r="39" spans="2:2">
      <c r="B39" s="1" t="s">
        <v>1793</v>
      </c>
    </row>
    <row r="40" spans="2:2">
      <c r="B40" s="1" t="s">
        <v>1794</v>
      </c>
    </row>
    <row r="41" spans="2:2">
      <c r="B41" s="1" t="s">
        <v>1795</v>
      </c>
    </row>
    <row r="42" spans="2:2">
      <c r="B42" s="1" t="s">
        <v>1796</v>
      </c>
    </row>
    <row r="43" spans="2:2">
      <c r="B43" s="1" t="s">
        <v>1797</v>
      </c>
    </row>
    <row r="45" spans="2:2">
      <c r="B45" s="1" t="s">
        <v>1798</v>
      </c>
    </row>
    <row r="46" spans="2:2">
      <c r="B46" s="1" t="s">
        <v>1799</v>
      </c>
    </row>
    <row r="47" spans="2:2">
      <c r="B47" s="1" t="s">
        <v>1800</v>
      </c>
    </row>
    <row r="48" spans="2:2">
      <c r="B48" s="1" t="s">
        <v>1801</v>
      </c>
    </row>
    <row r="49" spans="2:2">
      <c r="B49" s="1" t="s">
        <v>1802</v>
      </c>
    </row>
    <row r="50" spans="2:2">
      <c r="B50" s="1" t="s">
        <v>1803</v>
      </c>
    </row>
    <row r="52" spans="2:2">
      <c r="B52" s="1" t="s">
        <v>1804</v>
      </c>
    </row>
    <row r="53" spans="2:2">
      <c r="B53" s="1" t="s">
        <v>1805</v>
      </c>
    </row>
    <row r="54" spans="2:2">
      <c r="B54" s="1" t="s">
        <v>1806</v>
      </c>
    </row>
    <row r="55" spans="2:2">
      <c r="B55" s="1" t="s">
        <v>1807</v>
      </c>
    </row>
    <row r="56" spans="2:2">
      <c r="B56" s="1" t="s">
        <v>1801</v>
      </c>
    </row>
    <row r="57" spans="2:2">
      <c r="B57" s="1" t="s">
        <v>1808</v>
      </c>
    </row>
    <row r="58" spans="2:2">
      <c r="B58" s="1" t="s">
        <v>1809</v>
      </c>
    </row>
    <row r="60" spans="2:2">
      <c r="B60" s="1" t="s">
        <v>1810</v>
      </c>
    </row>
    <row r="61" spans="2:2">
      <c r="B61" s="1" t="s">
        <v>1811</v>
      </c>
    </row>
    <row r="62" spans="3:3">
      <c r="C62" s="1" t="s">
        <v>188</v>
      </c>
    </row>
    <row r="63" spans="3:3">
      <c r="C63" s="1" t="s">
        <v>310</v>
      </c>
    </row>
    <row r="64" spans="2:2">
      <c r="B64" s="1" t="s">
        <v>1812</v>
      </c>
    </row>
    <row r="66" spans="2:2">
      <c r="B66" s="1" t="s">
        <v>1781</v>
      </c>
    </row>
  </sheetData>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10</vt:i4>
      </vt:variant>
    </vt:vector>
  </HeadingPairs>
  <TitlesOfParts>
    <vt:vector size="10" baseType="lpstr">
      <vt:lpstr>変更履歴</vt:lpstr>
      <vt:lpstr>テーブル一覧</vt:lpstr>
      <vt:lpstr>テーブル定義_マスタ</vt:lpstr>
      <vt:lpstr>テーブル定義_Q連携</vt:lpstr>
      <vt:lpstr>テーブル定義_申込情報</vt:lpstr>
      <vt:lpstr>テーブル定義_キュー管理</vt:lpstr>
      <vt:lpstr>テーブル定義_IIJ連携</vt:lpstr>
      <vt:lpstr>テーブル定義_実行制御</vt:lpstr>
      <vt:lpstr>設定</vt:lpstr>
      <vt:lpstr>DDL出力</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okamoto</dc:creator>
  <cp:lastModifiedBy>Điệp Can Cook</cp:lastModifiedBy>
  <dcterms:created xsi:type="dcterms:W3CDTF">2011-10-15T04:32:00Z</dcterms:created>
  <cp:lastPrinted>2018-04-02T00:12:00Z</cp:lastPrinted>
  <dcterms:modified xsi:type="dcterms:W3CDTF">2025-09-17T04:32:34Z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AB4519447B614C8697ADFC10D372853A_12</vt:lpwstr>
  </property>
  <property fmtid="{D5CDD505-2E9C-101B-9397-08002B2CF9AE}" pid="3" name="KSOProductBuildVer">
    <vt:lpwstr>1033-12.2.0.22549</vt:lpwstr>
  </property>
</Properties>
</file>